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ables/table8.xml" ContentType="application/vnd.openxmlformats-officedocument.spreadsheetml.table+xml"/>
  <Override PartName="/xl/queryTables/queryTable8.xml" ContentType="application/vnd.openxmlformats-officedocument.spreadsheetml.query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8FB1686E-52ED-4DD4-BF8A-BA54BE952D52}" xr6:coauthVersionLast="47" xr6:coauthVersionMax="47" xr10:uidLastSave="{00000000-0000-0000-0000-000000000000}"/>
  <bookViews>
    <workbookView xWindow="-120" yWindow="-120" windowWidth="29040" windowHeight="15720" firstSheet="6" activeTab="12" xr2:uid="{E2CE47D3-4CF9-4AFF-AD06-0FE56174B136}"/>
  </bookViews>
  <sheets>
    <sheet name="users" sheetId="9" r:id="rId1"/>
    <sheet name="SCHED" sheetId="14" r:id="rId2"/>
    <sheet name="schedules" sheetId="8" r:id="rId3"/>
    <sheet name="grades" sheetId="7" r:id="rId4"/>
    <sheet name="FINAL" sheetId="18" r:id="rId5"/>
    <sheet name="final_grades" sheetId="6" r:id="rId6"/>
    <sheet name="classes" sheetId="5" r:id="rId7"/>
    <sheet name="STUD" sheetId="16" r:id="rId8"/>
    <sheet name="class_students" sheetId="4" r:id="rId9"/>
    <sheet name="class_activities" sheetId="3" r:id="rId10"/>
    <sheet name="ATTEN" sheetId="12" r:id="rId11"/>
    <sheet name="attendance" sheetId="2" r:id="rId12"/>
    <sheet name="DASHBOARD" sheetId="13" r:id="rId13"/>
  </sheets>
  <definedNames>
    <definedName name="ExternalData_1" localSheetId="11" hidden="1">attendance!$A$1:$H$52</definedName>
    <definedName name="ExternalData_2" localSheetId="9" hidden="1">'class_activities'!$A$1:$E$2</definedName>
    <definedName name="ExternalData_3" localSheetId="8" hidden="1">'class_students'!$A$1:$J$80</definedName>
    <definedName name="ExternalData_4" localSheetId="6" hidden="1">'classes'!$A$1:$F$6</definedName>
    <definedName name="ExternalData_5" localSheetId="5" hidden="1">final_grades!$A$1:$J$4</definedName>
    <definedName name="ExternalData_6" localSheetId="3" hidden="1">grades!$A$1:$G$38</definedName>
    <definedName name="ExternalData_7" localSheetId="2" hidden="1">schedules!$A$1:$I$6</definedName>
    <definedName name="ExternalData_8" localSheetId="0" hidden="1">users!$A$1:$I$161</definedName>
    <definedName name="Slicer_date">#N/A</definedName>
    <definedName name="Slicer_grade_level">#N/A</definedName>
    <definedName name="Slicer_subject">#N/A</definedName>
  </definedNames>
  <calcPr calcId="191029"/>
  <pivotCaches>
    <pivotCache cacheId="38" r:id="rId14"/>
    <pivotCache cacheId="18" r:id="rId15"/>
    <pivotCache cacheId="22" r:id="rId16"/>
    <pivotCache cacheId="36"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3" l="1"/>
  <c r="Q9" i="13"/>
  <c r="M9" i="13"/>
  <c r="I9"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A98615-4836-4774-AB0A-376ABD0893FD}" keepAlive="1" name="Query - attendance" description="Connection to the 'attendance' query in the workbook." type="5" refreshedVersion="8" background="1" saveData="1">
    <dbPr connection="Provider=Microsoft.Mashup.OleDb.1;Data Source=$Workbook$;Location=attendance;Extended Properties=&quot;&quot;" command="SELECT * FROM [attendance]"/>
  </connection>
  <connection id="2" xr16:uid="{43DB865C-21BE-4D6E-9EF0-F040F06BC670}" keepAlive="1" name="Query - class_activities" description="Connection to the 'class_activities' query in the workbook." type="5" refreshedVersion="8" background="1" saveData="1">
    <dbPr connection="Provider=Microsoft.Mashup.OleDb.1;Data Source=$Workbook$;Location=class_activities;Extended Properties=&quot;&quot;" command="SELECT * FROM [class_activities]"/>
  </connection>
  <connection id="3" xr16:uid="{4985C356-3865-48B3-8B1B-6FF89597AFD9}" keepAlive="1" name="Query - class_students" description="Connection to the 'class_students' query in the workbook." type="5" refreshedVersion="8" background="1" saveData="1">
    <dbPr connection="Provider=Microsoft.Mashup.OleDb.1;Data Source=$Workbook$;Location=class_students;Extended Properties=&quot;&quot;" command="SELECT * FROM [class_students]"/>
  </connection>
  <connection id="4" xr16:uid="{03785541-09C8-4273-9247-89B024F479D8}" keepAlive="1" name="Query - classes" description="Connection to the 'classes' query in the workbook." type="5" refreshedVersion="8" background="1" saveData="1">
    <dbPr connection="Provider=Microsoft.Mashup.OleDb.1;Data Source=$Workbook$;Location=classes;Extended Properties=&quot;&quot;" command="SELECT * FROM [classes]"/>
  </connection>
  <connection id="5" xr16:uid="{AEB6BF28-E9D5-40B0-A1AB-59FA68D645FB}" keepAlive="1" name="Query - final_grades" description="Connection to the 'final_grades' query in the workbook." type="5" refreshedVersion="8" background="1" saveData="1">
    <dbPr connection="Provider=Microsoft.Mashup.OleDb.1;Data Source=$Workbook$;Location=final_grades;Extended Properties=&quot;&quot;" command="SELECT * FROM [final_grades]"/>
  </connection>
  <connection id="6" xr16:uid="{AFC14D98-EBC7-4FD8-A964-951E3261E240}" keepAlive="1" name="Query - grades" description="Connection to the 'grades' query in the workbook." type="5" refreshedVersion="8" background="1" saveData="1">
    <dbPr connection="Provider=Microsoft.Mashup.OleDb.1;Data Source=$Workbook$;Location=grades;Extended Properties=&quot;&quot;" command="SELECT * FROM [grades]"/>
  </connection>
  <connection id="7" xr16:uid="{20A37179-1DEF-416E-9464-54C56200D6C4}" keepAlive="1" name="Query - schedules" description="Connection to the 'schedules' query in the workbook." type="5" refreshedVersion="8" background="1" saveData="1">
    <dbPr connection="Provider=Microsoft.Mashup.OleDb.1;Data Source=$Workbook$;Location=schedules;Extended Properties=&quot;&quot;" command="SELECT * FROM [schedules]"/>
  </connection>
  <connection id="8" xr16:uid="{B8DEFA42-BE9E-4F00-9609-4F20210A6100}"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<sst xmlns="http://schemas.openxmlformats.org/spreadsheetml/2006/main" count="1735" uniqueCount="644">
  <si>
    <t>id</t>
  </si>
  <si>
    <t>student_id</t>
  </si>
  <si>
    <t>date</t>
  </si>
  <si>
    <t>status</t>
  </si>
  <si>
    <t>remarks</t>
  </si>
  <si>
    <t>grade_level</t>
  </si>
  <si>
    <t>section</t>
  </si>
  <si>
    <t>created_at</t>
  </si>
  <si>
    <t>present</t>
  </si>
  <si>
    <t/>
  </si>
  <si>
    <t>GRADE 10</t>
  </si>
  <si>
    <t>RIZAL</t>
  </si>
  <si>
    <t>absent</t>
  </si>
  <si>
    <t>GRADE 7</t>
  </si>
  <si>
    <t>PASCAL</t>
  </si>
  <si>
    <t>late</t>
  </si>
  <si>
    <t>GRADE 8</t>
  </si>
  <si>
    <t>MARS</t>
  </si>
  <si>
    <t>class_id</t>
  </si>
  <si>
    <t>activity_date</t>
  </si>
  <si>
    <t>activity_text</t>
  </si>
  <si>
    <t>FUNRUN</t>
  </si>
  <si>
    <t>first_name</t>
  </si>
  <si>
    <t>last_name</t>
  </si>
  <si>
    <t>middle_name</t>
  </si>
  <si>
    <t>gender</t>
  </si>
  <si>
    <t>VICTOR</t>
  </si>
  <si>
    <t>ODARVE</t>
  </si>
  <si>
    <t>E</t>
  </si>
  <si>
    <t>Male</t>
  </si>
  <si>
    <t>02-2324-13335</t>
  </si>
  <si>
    <t>GABRIEL</t>
  </si>
  <si>
    <t>MADRIDANO</t>
  </si>
  <si>
    <t>M</t>
  </si>
  <si>
    <t>02-2324-11111</t>
  </si>
  <si>
    <t>Mason</t>
  </si>
  <si>
    <t>Morales</t>
  </si>
  <si>
    <t>FIL-005-01-01</t>
  </si>
  <si>
    <t>Olivia</t>
  </si>
  <si>
    <t>Fernandez</t>
  </si>
  <si>
    <t>SCI-101-02-01</t>
  </si>
  <si>
    <t>GRADE 9</t>
  </si>
  <si>
    <t>HONESTY</t>
  </si>
  <si>
    <t>Amelia</t>
  </si>
  <si>
    <t>Cruz</t>
  </si>
  <si>
    <t>MATH-102-03-01</t>
  </si>
  <si>
    <t>SATURN</t>
  </si>
  <si>
    <t>James</t>
  </si>
  <si>
    <t>Mendoza</t>
  </si>
  <si>
    <t>MATH-102-04-01</t>
  </si>
  <si>
    <t>Noah</t>
  </si>
  <si>
    <t>Ramos</t>
  </si>
  <si>
    <t>ENG-103-05-01</t>
  </si>
  <si>
    <t>Sophia</t>
  </si>
  <si>
    <t>Female</t>
  </si>
  <si>
    <t>FIL-005-01-02</t>
  </si>
  <si>
    <t>Lucas</t>
  </si>
  <si>
    <t>Garcia</t>
  </si>
  <si>
    <t>SCI-101-02-02</t>
  </si>
  <si>
    <t>Elijah</t>
  </si>
  <si>
    <t>Rivera</t>
  </si>
  <si>
    <t>MATH-102-03-02</t>
  </si>
  <si>
    <t>Benjamin</t>
  </si>
  <si>
    <t>Torres</t>
  </si>
  <si>
    <t>MATH-102-04-02</t>
  </si>
  <si>
    <t>Bautista</t>
  </si>
  <si>
    <t>ENG-103-05-02</t>
  </si>
  <si>
    <t>Isabella</t>
  </si>
  <si>
    <t>Villanueva</t>
  </si>
  <si>
    <t>FIL-005-01-03</t>
  </si>
  <si>
    <t>Flores</t>
  </si>
  <si>
    <t>SCI-101-02-03</t>
  </si>
  <si>
    <t>Santos</t>
  </si>
  <si>
    <t>MATH-102-03-03</t>
  </si>
  <si>
    <t>Salazar</t>
  </si>
  <si>
    <t>MATH-102-04-03</t>
  </si>
  <si>
    <t>Charlotte</t>
  </si>
  <si>
    <t>ENG-103-05-03</t>
  </si>
  <si>
    <t>Ethan</t>
  </si>
  <si>
    <t>Navarro</t>
  </si>
  <si>
    <t>FIL-005-01-04</t>
  </si>
  <si>
    <t>Emma</t>
  </si>
  <si>
    <t>SCI-101-02-04</t>
  </si>
  <si>
    <t>Henry</t>
  </si>
  <si>
    <t>MATH-102-03-04</t>
  </si>
  <si>
    <t>Ava</t>
  </si>
  <si>
    <t>MATH-102-04-04</t>
  </si>
  <si>
    <t>ENG-103-05-04</t>
  </si>
  <si>
    <t>FIL-005-01-05</t>
  </si>
  <si>
    <t>Diaz</t>
  </si>
  <si>
    <t>SCI-101-02-05</t>
  </si>
  <si>
    <t>Aquino</t>
  </si>
  <si>
    <t>MATH-102-03-05</t>
  </si>
  <si>
    <t>MATH-102-04-05</t>
  </si>
  <si>
    <t>Castro</t>
  </si>
  <si>
    <t>ENG-103-05-05</t>
  </si>
  <si>
    <t>FIL-005-01-06</t>
  </si>
  <si>
    <t>Daniel</t>
  </si>
  <si>
    <t>SCI-101-02-06</t>
  </si>
  <si>
    <t>Gonzales</t>
  </si>
  <si>
    <t>MATH-102-03-06</t>
  </si>
  <si>
    <t>Domingo</t>
  </si>
  <si>
    <t>MATH-102-04-06</t>
  </si>
  <si>
    <t>Alexander</t>
  </si>
  <si>
    <t>ENG-103-05-06</t>
  </si>
  <si>
    <t>FIL-005-01-07</t>
  </si>
  <si>
    <t>SCI-101-02-07</t>
  </si>
  <si>
    <t>MATH-102-03-07</t>
  </si>
  <si>
    <t>MATH-102-04-07</t>
  </si>
  <si>
    <t>Reyes</t>
  </si>
  <si>
    <t>ENG-103-05-07</t>
  </si>
  <si>
    <t>FIL-005-01-08</t>
  </si>
  <si>
    <t>SCI-101-02-08</t>
  </si>
  <si>
    <t>MATH-102-03-08</t>
  </si>
  <si>
    <t>MATH-102-04-08</t>
  </si>
  <si>
    <t>ENG-103-05-08</t>
  </si>
  <si>
    <t>FIL-005-01-09</t>
  </si>
  <si>
    <t>SCI-101-02-09</t>
  </si>
  <si>
    <t>MATH-102-03-09</t>
  </si>
  <si>
    <t>MATH-102-04-09</t>
  </si>
  <si>
    <t>ENG-103-05-09</t>
  </si>
  <si>
    <t>FIL-005-01-10</t>
  </si>
  <si>
    <t>SCI-101-02-10</t>
  </si>
  <si>
    <t>MATH-102-03-10</t>
  </si>
  <si>
    <t>MATH-102-04-10</t>
  </si>
  <si>
    <t>ENG-103-05-10</t>
  </si>
  <si>
    <t>FIL-005-01-11</t>
  </si>
  <si>
    <t>SCI-101-02-11</t>
  </si>
  <si>
    <t>MATH-102-03-11</t>
  </si>
  <si>
    <t>MATH-102-04-11</t>
  </si>
  <si>
    <t>ENG-103-05-11</t>
  </si>
  <si>
    <t>FIL-005-01-12</t>
  </si>
  <si>
    <t>Mia</t>
  </si>
  <si>
    <t>SCI-101-02-12</t>
  </si>
  <si>
    <t>MATH-102-03-12</t>
  </si>
  <si>
    <t>MATH-102-04-12</t>
  </si>
  <si>
    <t>ENG-103-05-12</t>
  </si>
  <si>
    <t>FIL-005-01-13</t>
  </si>
  <si>
    <t>SCI-101-02-13</t>
  </si>
  <si>
    <t>MATH-102-03-13</t>
  </si>
  <si>
    <t>MATH-102-04-13</t>
  </si>
  <si>
    <t>ENG-103-05-13</t>
  </si>
  <si>
    <t>FIL-005-01-14</t>
  </si>
  <si>
    <t>SCI-101-02-14</t>
  </si>
  <si>
    <t>MATH-102-03-14</t>
  </si>
  <si>
    <t>MATH-102-04-14</t>
  </si>
  <si>
    <t>ENG-103-05-14</t>
  </si>
  <si>
    <t>FIL-005-01-15</t>
  </si>
  <si>
    <t>SCI-101-02-15</t>
  </si>
  <si>
    <t>MATH-102-03-15</t>
  </si>
  <si>
    <t>MATH-102-04-15</t>
  </si>
  <si>
    <t>ENG-103-05-15</t>
  </si>
  <si>
    <t>JAPHET</t>
  </si>
  <si>
    <t>DOROIN</t>
  </si>
  <si>
    <t>C</t>
  </si>
  <si>
    <t>02-2324-12345</t>
  </si>
  <si>
    <t>REN</t>
  </si>
  <si>
    <t>DOSOL</t>
  </si>
  <si>
    <t>O</t>
  </si>
  <si>
    <t>02-2324-54321</t>
  </si>
  <si>
    <t>subject</t>
  </si>
  <si>
    <t>subject_code</t>
  </si>
  <si>
    <t>FILIPINO</t>
  </si>
  <si>
    <t>FIL-005</t>
  </si>
  <si>
    <t>SCIENCE</t>
  </si>
  <si>
    <t>SCI-101</t>
  </si>
  <si>
    <t>MATHEMATICS</t>
  </si>
  <si>
    <t>MATH-102</t>
  </si>
  <si>
    <t>ENGLISH</t>
  </si>
  <si>
    <t>ENG-103</t>
  </si>
  <si>
    <t>q1_grade</t>
  </si>
  <si>
    <t>q2_grade</t>
  </si>
  <si>
    <t>q3_grade</t>
  </si>
  <si>
    <t>q4_grade</t>
  </si>
  <si>
    <t>raw_final_grade</t>
  </si>
  <si>
    <t>rounded_final_grade</t>
  </si>
  <si>
    <t>finalized_at</t>
  </si>
  <si>
    <t>PASSED</t>
  </si>
  <si>
    <t>FAILED</t>
  </si>
  <si>
    <t>quarter</t>
  </si>
  <si>
    <t>grade_type</t>
  </si>
  <si>
    <t>scores</t>
  </si>
  <si>
    <t>total_score</t>
  </si>
  <si>
    <t>pt</t>
  </si>
  <si>
    <t>["45","18","25","","","",""]</t>
  </si>
  <si>
    <t>["50","20","30","","","",""]</t>
  </si>
  <si>
    <t>ww</t>
  </si>
  <si>
    <t>["12","20","10","8","5","","","","",""]</t>
  </si>
  <si>
    <t>["15","25","10","10","10","","","","",""]</t>
  </si>
  <si>
    <t>as</t>
  </si>
  <si>
    <t>["42","","","",""]</t>
  </si>
  <si>
    <t>["50","","","",""]</t>
  </si>
  <si>
    <t>["14","22","9","10","","","","","",""]</t>
  </si>
  <si>
    <t>["15","25","10","10","","","","","",""]</t>
  </si>
  <si>
    <t>["45","","","",""]</t>
  </si>
  <si>
    <t>["48","18","27","","","",""]</t>
  </si>
  <si>
    <t>["15","23","10","9","","","","","",""]</t>
  </si>
  <si>
    <t>["50","19","28","","","",""]</t>
  </si>
  <si>
    <t>["46","","","",""]</t>
  </si>
  <si>
    <t>["14","24","9","10","","","","","",""]</t>
  </si>
  <si>
    <t>["48","","","",""]</t>
  </si>
  <si>
    <t>["20","10","15","","","",""]</t>
  </si>
  <si>
    <t>["8","15","5","6","3","","","","",""]</t>
  </si>
  <si>
    <t>["28","","","",""]</t>
  </si>
  <si>
    <t>["10","16","7","6","","","","","",""]</t>
  </si>
  <si>
    <t>["25","12","18","","","",""]</t>
  </si>
  <si>
    <t>["30","","","",""]</t>
  </si>
  <si>
    <t>["9","17","6","7","","","","","",""]</t>
  </si>
  <si>
    <t>["22","11","15","","","",""]</t>
  </si>
  <si>
    <t>["12","18","7","6","","","","","",""]</t>
  </si>
  <si>
    <t>["35","","","",""]</t>
  </si>
  <si>
    <t>["30","14","20","","","",""]</t>
  </si>
  <si>
    <t>["01","","","","","","","","",""]</t>
  </si>
  <si>
    <t>["10","","","","","","","","",""]</t>
  </si>
  <si>
    <t>["13","20","8","9","8","","","","",""]</t>
  </si>
  <si>
    <t>["12","24","9","10","","",""]</t>
  </si>
  <si>
    <t>["15","25","10","10","","",""]</t>
  </si>
  <si>
    <t>["12","24","8","8","","","","","",""]</t>
  </si>
  <si>
    <t>["13","20","8","7","","",""]</t>
  </si>
  <si>
    <t>["14","20","10","10","","","","","",""]</t>
  </si>
  <si>
    <t>["13","23","8","8","","",""]</t>
  </si>
  <si>
    <t>["45","18","30","","","",""]</t>
  </si>
  <si>
    <t>["49","","","",""]</t>
  </si>
  <si>
    <t>day_of_week</t>
  </si>
  <si>
    <t>start_time</t>
  </si>
  <si>
    <t>end_time</t>
  </si>
  <si>
    <t>room</t>
  </si>
  <si>
    <t>Monday</t>
  </si>
  <si>
    <t>ROOM 105</t>
  </si>
  <si>
    <t>Tuesday</t>
  </si>
  <si>
    <t>ROOM 101</t>
  </si>
  <si>
    <t>Wednesday</t>
  </si>
  <si>
    <t>ROOM 102</t>
  </si>
  <si>
    <t>Thursday</t>
  </si>
  <si>
    <t>ROOM 103</t>
  </si>
  <si>
    <t>Friday</t>
  </si>
  <si>
    <t>ROOM 104</t>
  </si>
  <si>
    <t>name</t>
  </si>
  <si>
    <t>username</t>
  </si>
  <si>
    <t>email</t>
  </si>
  <si>
    <t>password</t>
  </si>
  <si>
    <t>role</t>
  </si>
  <si>
    <t>student_profile_id</t>
  </si>
  <si>
    <t>last_login_at</t>
  </si>
  <si>
    <t>Administrator</t>
  </si>
  <si>
    <t>admin</t>
  </si>
  <si>
    <t>$2y$10$DIhy.ppcYkX/NU14xC78/.dFRUer85PVwj4bc0s07AYyBlN4Wmwsy</t>
  </si>
  <si>
    <t>Teacher One</t>
  </si>
  <si>
    <t>teacher1</t>
  </si>
  <si>
    <t>teacher</t>
  </si>
  <si>
    <t>Teacher Two</t>
  </si>
  <si>
    <t>teacher2</t>
  </si>
  <si>
    <t>Student One</t>
  </si>
  <si>
    <t>student1</t>
  </si>
  <si>
    <t>student</t>
  </si>
  <si>
    <t>Student Two</t>
  </si>
  <si>
    <t>student2</t>
  </si>
  <si>
    <t>VICTOR ODARVE</t>
  </si>
  <si>
    <t>02-2324-13335@student.local</t>
  </si>
  <si>
    <t>$2y$10$4YErfST4rvuC/V3rWefnMuDTqcdhfW36gtqwTuCk.V8dphH6XGyeK</t>
  </si>
  <si>
    <t>GABRIEL MADRIDANO</t>
  </si>
  <si>
    <t>02-2324-11111@student.local</t>
  </si>
  <si>
    <t>$2y$10$4hrNswrLFPp3zO0RDrNdF.XkZTvKOox/3TlJ5JDZjy6gXSDbosyK6</t>
  </si>
  <si>
    <t>Mason Morales</t>
  </si>
  <si>
    <t>fil-005-01-01@student.local</t>
  </si>
  <si>
    <t>$2y$10$Hk50v6VOEs6hTrPwTvnzl.KH53tEuleAeqDvotAe3XyNvbDOT.50W</t>
  </si>
  <si>
    <t>Olivia Fernandez</t>
  </si>
  <si>
    <t>sci-101-02-01@student.local</t>
  </si>
  <si>
    <t>$2y$10$6g37nwxTcVdUnH3WO2ur5ug4wWcPQJwPNxu9vdZCcgYE12ltBea9C</t>
  </si>
  <si>
    <t>Amelia Cruz</t>
  </si>
  <si>
    <t>math-102-03-01@student.local</t>
  </si>
  <si>
    <t>$2y$10$zc6S4JcKea3zlUY1eRVNh.fU29trXGyAFNJxtA8StIOPTim2Jmfvm</t>
  </si>
  <si>
    <t>James Mendoza</t>
  </si>
  <si>
    <t>math-102-04-01@student.local</t>
  </si>
  <si>
    <t>$2y$10$sg3v8HYi.0nauqb0JvVxvOpFEICJgNv0jUw.ugiaZJ3xaOlKDmMOe</t>
  </si>
  <si>
    <t>Noah Ramos</t>
  </si>
  <si>
    <t>eng-103-05-01@student.local</t>
  </si>
  <si>
    <t>$2y$10$zg1tRPoJWpCSYf5z9p2OS.tWo9NdCQdPHMKVducRr.DW4.Tna2Q22</t>
  </si>
  <si>
    <t>Sophia Ramos</t>
  </si>
  <si>
    <t>fil-005-01-02@student.local</t>
  </si>
  <si>
    <t>$2y$10$Hzboagxk2jyzaxCkCS2/2.3S9P/1oYSLnGlEtLO9F4.CQ6G.u7Nj6</t>
  </si>
  <si>
    <t>Lucas Garcia</t>
  </si>
  <si>
    <t>sci-101-02-02@student.local</t>
  </si>
  <si>
    <t>$2y$10$8YquRisYAdqupXErp5a39.b.HxvoTO1onEWdY6eoO3zKuLpKBljm6</t>
  </si>
  <si>
    <t>Elijah Rivera</t>
  </si>
  <si>
    <t>math-102-03-02@student.local</t>
  </si>
  <si>
    <t>$2y$10$cBFf/mCxYUqn5mc3sGPhaOZfIG5G73WcEBhcpJpWidZgmV7Ypfx0.</t>
  </si>
  <si>
    <t>Benjamin Torres</t>
  </si>
  <si>
    <t>math-102-04-02@student.local</t>
  </si>
  <si>
    <t>$2y$10$45JRiwwWs8fH7u4yZ9eJMerpXSYkFo40GdzGCCawTJciOr8SLeCQy</t>
  </si>
  <si>
    <t>Elijah Bautista</t>
  </si>
  <si>
    <t>eng-103-05-02@student.local</t>
  </si>
  <si>
    <t>$2y$10$gm0BRkjgCRLo.dd5pRDgsOUj3kDHHSpxRPcwcumxz8KkTp.fa86.C</t>
  </si>
  <si>
    <t>Isabella Villanueva</t>
  </si>
  <si>
    <t>fil-005-01-03@student.local</t>
  </si>
  <si>
    <t>$2y$10$2cvbH93Ay0FOxrpdWpaUrOntqe0VavGg3nP/mjIDePvfzSj4H8cu.</t>
  </si>
  <si>
    <t>Sophia Flores</t>
  </si>
  <si>
    <t>sci-101-02-03@student.local</t>
  </si>
  <si>
    <t>$2y$10$HRgbpjXQWxXYGfV01JhhFuKTNbn6jnA2mOYNK6HfWVPKk3qYv5bSu</t>
  </si>
  <si>
    <t>Noah Santos</t>
  </si>
  <si>
    <t>math-102-03-03@student.local</t>
  </si>
  <si>
    <t>$2y$10$QwZuZ2njbtfjMv/eex2ZAOEq27vkxvsp7f/2pn3hsd5YSdh4/zbo.</t>
  </si>
  <si>
    <t>Isabella Salazar</t>
  </si>
  <si>
    <t>math-102-04-03@student.local</t>
  </si>
  <si>
    <t>$2y$10$pxfakqU3ZgI9A/a5.1XIYeDXkmhy8FL/oKbCCMXZiCCNTqM6SY5V6</t>
  </si>
  <si>
    <t>Charlotte Mendoza</t>
  </si>
  <si>
    <t>eng-103-05-03@student.local</t>
  </si>
  <si>
    <t>$2y$10$FwMHB7JHvdoXmn2sxN100.rn7iCuEKcnokfn.mqXnnNHPZp0mxajC</t>
  </si>
  <si>
    <t>Ethan Navarro</t>
  </si>
  <si>
    <t>fil-005-01-04@student.local</t>
  </si>
  <si>
    <t>$2y$10$ap0HAPdxx77hxs9e60ZqueT1nlStsTEVpQDL44CoeCPhi9Jn2k/BG</t>
  </si>
  <si>
    <t>Emma Villanueva</t>
  </si>
  <si>
    <t>sci-101-02-04@student.local</t>
  </si>
  <si>
    <t>$2y$10$4wboMlIO.QDEP/KoEoHmTuwbOVk6GZ65.5RzNeuQEo2yrcDz5vMFa</t>
  </si>
  <si>
    <t>Henry Garcia</t>
  </si>
  <si>
    <t>math-102-03-04@student.local</t>
  </si>
  <si>
    <t>$2y$10$2ihvAiNGCqZP6o5IDbYdAeeICAa62qc99oo2eHRDOukCDPSiR0Op.</t>
  </si>
  <si>
    <t>Ava Flores</t>
  </si>
  <si>
    <t>math-102-04-04@student.local</t>
  </si>
  <si>
    <t>$2y$10$aOYl1lQ9/2tIUzin8jP1Suu.CaEpihpIqnQLISTF1zG4M1nqjclju</t>
  </si>
  <si>
    <t>Isabella Cruz</t>
  </si>
  <si>
    <t>eng-103-05-04@student.local</t>
  </si>
  <si>
    <t>$2y$10$JfYL0x1qYgHKvay3jHjiMutGKW54xQEvQFJS..JD7hIaeAedJZHQW</t>
  </si>
  <si>
    <t>Ava Navarro</t>
  </si>
  <si>
    <t>fil-005-01-05@student.local</t>
  </si>
  <si>
    <t>$2y$10$wHQ.FVsCvYXITAQg957rwOx3lJq0tWUC/UjtOabTxnei.WA/qZIOW</t>
  </si>
  <si>
    <t>James Diaz</t>
  </si>
  <si>
    <t>sci-101-02-05@student.local</t>
  </si>
  <si>
    <t>$2y$10$Rjg05q5AjeS25aQSxecaJ.8fZP5VOUmEO81sd6Kk/VeU7aS78sCq2</t>
  </si>
  <si>
    <t>Ava Aquino</t>
  </si>
  <si>
    <t>math-102-03-05@student.local</t>
  </si>
  <si>
    <t>$2y$10$dVZXyK0ftnZk8uXjwkXHr.m7Bn3KKbeySpjvWSKbO0VHBCF.xUMBu</t>
  </si>
  <si>
    <t>Lucas Bautista</t>
  </si>
  <si>
    <t>math-102-04-05@student.local</t>
  </si>
  <si>
    <t>$2y$10$jvUUNfDK7zy06zGUOUJ5Pu3dq1bP8xNiW4JwyioLHnEgGT6HJL3SW</t>
  </si>
  <si>
    <t>Sophia Castro</t>
  </si>
  <si>
    <t>eng-103-05-05@student.local</t>
  </si>
  <si>
    <t>$2y$10$fHEUm4LQ6nuNfVdV1MoAS.cKxEmdvaC2aZ1itzWE43RoCxE.euLTS</t>
  </si>
  <si>
    <t>Ava Diaz</t>
  </si>
  <si>
    <t>fil-005-01-06@student.local</t>
  </si>
  <si>
    <t>$2y$10$GO3oXIWyyfFq4gjFveSIT.bpQZ1jZgQGoEOwu3K.Nx8Vnufj8s8o6</t>
  </si>
  <si>
    <t>Daniel Castro</t>
  </si>
  <si>
    <t>sci-101-02-06@student.local</t>
  </si>
  <si>
    <t>$2y$10$bH26mt0WopBE8mkAe3NEdesr5HQGHa8VLiUtYB/91VNOsXXUI46ku</t>
  </si>
  <si>
    <t>Mason Gonzales</t>
  </si>
  <si>
    <t>math-102-03-06@student.local</t>
  </si>
  <si>
    <t>$2y$10$WCcTX2tCRHGNaLCvCq2zL.0dTY/69RmpTgNXWhbho.QKDrkMzRNG.</t>
  </si>
  <si>
    <t>Ethan Domingo</t>
  </si>
  <si>
    <t>math-102-04-06@student.local</t>
  </si>
  <si>
    <t>$2y$10$8RhiejKGfhgbOc6GdnC4W.FU2hwWdWeT.sTA6HKqnwKys/WXUXZp6</t>
  </si>
  <si>
    <t>Alexander Castro</t>
  </si>
  <si>
    <t>eng-103-05-06@student.local</t>
  </si>
  <si>
    <t>$2y$10$TEzu3K7xHvlzOlZR1KP3DOKEZUSuZCyKxKT7unNx/14FugJdZwKJ6</t>
  </si>
  <si>
    <t>fil-005-01-07@student.local</t>
  </si>
  <si>
    <t>$2y$10$JqCNCpzCIa9oueBhFPpEHexc9eeq.W5RxxWtBFgmywJQPzcjT9766</t>
  </si>
  <si>
    <t>Noah Mendoza</t>
  </si>
  <si>
    <t>sci-101-02-07@student.local</t>
  </si>
  <si>
    <t>$2y$10$oWrXeguVPSKbf9kHSnbkOuXWtynDC3gzeVoQBR2z3l2qPJXn0X8mK</t>
  </si>
  <si>
    <t>Alexander Aquino</t>
  </si>
  <si>
    <t>math-102-03-07@student.local</t>
  </si>
  <si>
    <t>$2y$10$3WpFjlQELEQJgO/Lny3K/.MsOfZjDeRk0lwhrSWkiGJ3LLnwk5fw2</t>
  </si>
  <si>
    <t>Noah Fernandez</t>
  </si>
  <si>
    <t>math-102-04-07@student.local</t>
  </si>
  <si>
    <t>$2y$10$cr.EkwIQ.wDALmpfOsDyjOjomZG4vXdIP6wHX5N6C7guQwjxvzoxG</t>
  </si>
  <si>
    <t>Olivia Reyes</t>
  </si>
  <si>
    <t>eng-103-05-07@student.local</t>
  </si>
  <si>
    <t>$2y$10$ybGS9lw98HvTW5WtO1Qxteo6H7sVdQBFk.3cLhytH6u3jbKO5rq52</t>
  </si>
  <si>
    <t>Benjamin Rivera</t>
  </si>
  <si>
    <t>fil-005-01-08@student.local</t>
  </si>
  <si>
    <t>$2y$10$dCwD7aqHV57L2Tuk3L4K.O7eWN/oR1wQLt1Hj1ZSint4.uYrpZpb.</t>
  </si>
  <si>
    <t>Henry Rivera</t>
  </si>
  <si>
    <t>sci-101-02-08@student.local</t>
  </si>
  <si>
    <t>$2y$10$PjtQk0ulhScCTOhKd34QmepGVuMJgCSVHA75uRMmOsrqkOPiwb.wO</t>
  </si>
  <si>
    <t>math-102-03-08@student.local</t>
  </si>
  <si>
    <t>$2y$10$t//WhJkq6uG8KYXxq13Ri.6bh0HJ.T2hhSpAeTnP34xLsJA6taB1i</t>
  </si>
  <si>
    <t>Alexander Gonzales</t>
  </si>
  <si>
    <t>math-102-04-08@student.local</t>
  </si>
  <si>
    <t>$2y$10$n1UQowX1sIu/zbbfGEqAsOcuJ8DtkPluNyG8X.E.UI48BL7YbPoQu</t>
  </si>
  <si>
    <t>James Aquino</t>
  </si>
  <si>
    <t>eng-103-05-08@student.local</t>
  </si>
  <si>
    <t>$2y$10$/upnpnwva0PSPOOGoY6PnOzeYDzwyQR0cnPDiHIVKy54GMM8Gqjqi</t>
  </si>
  <si>
    <t>Ethan Mendoza</t>
  </si>
  <si>
    <t>fil-005-01-09@student.local</t>
  </si>
  <si>
    <t>$2y$10$Y9PZwU8KE18ErZpSl/oBWOXYlJ31KTox15O7Z4UrlPZ6KNzGrgX62</t>
  </si>
  <si>
    <t>sci-101-02-09@student.local</t>
  </si>
  <si>
    <t>$2y$10$sHluff1waBK.K8J0Ix1wWO01GTKmyNvz.6jkHY2bmTVqSUMX./NOW</t>
  </si>
  <si>
    <t>James Santos</t>
  </si>
  <si>
    <t>math-102-03-09@student.local</t>
  </si>
  <si>
    <t>$2y$10$UsOXFmvtLBdDVkZ3wMkBUOcBpB7wTNqLisVCT.l27g7NRY6niNHmm</t>
  </si>
  <si>
    <t>Daniel Diaz</t>
  </si>
  <si>
    <t>math-102-04-09@student.local</t>
  </si>
  <si>
    <t>$2y$10$IZR8ZvDGWRfEPpnOzt6OwuJqOO.5B4wk7ugHz8G2JB/.c1lW5cfDO</t>
  </si>
  <si>
    <t>Charlotte Fernandez</t>
  </si>
  <si>
    <t>eng-103-05-09@student.local</t>
  </si>
  <si>
    <t>$2y$10$GmZZ9tzP1IlYpvuTrsc4Qe3EweRl15WwlNfLX7dcmolftZPd09GFm</t>
  </si>
  <si>
    <t>Henry Gonzales</t>
  </si>
  <si>
    <t>fil-005-01-10@student.local</t>
  </si>
  <si>
    <t>$2y$10$v1NyJlBa.S/qxVF8BHCS6.XoZmdj6i4n75XA.3MID/q9hEiIJ6eb6</t>
  </si>
  <si>
    <t>sci-101-02-10@student.local</t>
  </si>
  <si>
    <t>$2y$10$66WgB8yRwiXpdZgVnlP4dOdA8kYQ5n4VAJhJQcJRx3iRINkd7hwHu</t>
  </si>
  <si>
    <t>Elijah Domingo</t>
  </si>
  <si>
    <t>math-102-03-10@student.local</t>
  </si>
  <si>
    <t>$2y$10$Y168Vm7qDf.NmkifMmOxQuYkSHA6aghXLZpKrQJbpfzTTdQjAaWzS</t>
  </si>
  <si>
    <t>math-102-04-10@student.local</t>
  </si>
  <si>
    <t>$2y$10$w0WhE2wGB1n1HPXfJ5Mjou9VNiQAgcJ2xECoXjXghdqUMRSd1lA8m</t>
  </si>
  <si>
    <t>Isabella Bautista</t>
  </si>
  <si>
    <t>eng-103-05-10@student.local</t>
  </si>
  <si>
    <t>$2y$10$HlXi90owkjNqzXS5KOgTJ.npqAFPN/SAqHQC/v43egs0aNSmtWDGG</t>
  </si>
  <si>
    <t>fil-005-01-11@student.local</t>
  </si>
  <si>
    <t>$2y$10$llAPCrUJ.scxnK0TveDBW.akN34vRoXT5xLHZVRd40iUcVxByL9P2</t>
  </si>
  <si>
    <t>Ethan Ramos</t>
  </si>
  <si>
    <t>sci-101-02-11@student.local</t>
  </si>
  <si>
    <t>$2y$10$abVFfNLvS5OqMkytPiYzeucZqW7bWTIOv2IeYLcRep5hgi973P3ja</t>
  </si>
  <si>
    <t>math-102-03-11@student.local</t>
  </si>
  <si>
    <t>$2y$10$zsyEtlS1tdl7Hy/O7.3OP.60bQXu9VgFuOne9UoXI/cq.dPocL/gq</t>
  </si>
  <si>
    <t>Ethan Castro</t>
  </si>
  <si>
    <t>math-102-04-11@student.local</t>
  </si>
  <si>
    <t>$2y$10$B8MSlQ2Hf5w0EmxbBHnaP.Wla3eddd83shov/WbrNlbz.RckVTOQG</t>
  </si>
  <si>
    <t>eng-103-05-11@student.local</t>
  </si>
  <si>
    <t>$2y$10$IkQe9f86dYGYvX3aavUBB.e.SXzq2Z7SBvvalGo1KdteNEgWeT2Wa</t>
  </si>
  <si>
    <t>Amelia Morales</t>
  </si>
  <si>
    <t>fil-005-01-12@student.local</t>
  </si>
  <si>
    <t>$2y$10$Qz6E0MmGujdJOZota/reJu/KlUxF4S5I0afipZ08UDBynHZfHOo0O</t>
  </si>
  <si>
    <t>Mia Cruz</t>
  </si>
  <si>
    <t>sci-101-02-12@student.local</t>
  </si>
  <si>
    <t>$2y$10$D792ejIFuWNOgfEcMdEMgOv2Lu48kqIEIyogjVyja9HEiVYS9i8dq</t>
  </si>
  <si>
    <t>Charlotte Reyes</t>
  </si>
  <si>
    <t>math-102-03-12@student.local</t>
  </si>
  <si>
    <t>$2y$10$SeLO6HORr2vA3Og3KEq98uir40Gevp7tJafr.NXLUoti73xpx27rq</t>
  </si>
  <si>
    <t>Elijah Morales</t>
  </si>
  <si>
    <t>math-102-04-12@student.local</t>
  </si>
  <si>
    <t>$2y$10$Vb4EB6MiicJ9cuPoluZGu.FAc9LRAHykao4xO5sMytTdiDZ.oypnm</t>
  </si>
  <si>
    <t>Mason Castro</t>
  </si>
  <si>
    <t>eng-103-05-12@student.local</t>
  </si>
  <si>
    <t>$2y$10$p8/7nUEx2/JsQytJFTwwiuxGG/lcZcuoSbQD4faT/BtO7Rst8f0hy</t>
  </si>
  <si>
    <t>Ethan Cruz</t>
  </si>
  <si>
    <t>fil-005-01-13@student.local</t>
  </si>
  <si>
    <t>$2y$10$9Q0xI2QYWqOREIcVYUxF7eMTmv4EK5nT4wBF6.kDWLJihB8k8u6/K</t>
  </si>
  <si>
    <t>sci-101-02-13@student.local</t>
  </si>
  <si>
    <t>$2y$10$2iGs495TnvlUQfFW9weL7Oe5De0bUniarjY2YHSooM1KjvBO0oPMS</t>
  </si>
  <si>
    <t>Henry Mendoza</t>
  </si>
  <si>
    <t>math-102-03-13@student.local</t>
  </si>
  <si>
    <t>$2y$10$mJE4y7M4mVNZDH8kYPilKu3vmXkhtSsvXZUTi.5Ufu80zbFsdMCEe</t>
  </si>
  <si>
    <t>Olivia Salazar</t>
  </si>
  <si>
    <t>math-102-04-13@student.local</t>
  </si>
  <si>
    <t>$2y$10$IZg2C0voBPruKy4ASUEuqulzEjuRjW09O7KNrWhbpDoY7TUyxUzDq</t>
  </si>
  <si>
    <t>Olivia Garcia</t>
  </si>
  <si>
    <t>eng-103-05-13@student.local</t>
  </si>
  <si>
    <t>$2y$10$6AoaGA57VoBKmzavlnRy/uH5de9oq2lu.MDuAI6EGdkzndjb1GOiq</t>
  </si>
  <si>
    <t>Sophia Torres</t>
  </si>
  <si>
    <t>fil-005-01-14@student.local</t>
  </si>
  <si>
    <t>$2y$10$m7pJ5JEMjZKUwgsQZg60ZuWQJkVkfxHTVdg4d15xV9nrCO9TZrDh6</t>
  </si>
  <si>
    <t>Isabella Morales</t>
  </si>
  <si>
    <t>sci-101-02-14@student.local</t>
  </si>
  <si>
    <t>$2y$10$Auj/LbWTSJwQ.73xUc5ZS.Ofal5z0P8T48kvyPUIzLdk2F4K2g8Ca</t>
  </si>
  <si>
    <t>Benjamin Reyes</t>
  </si>
  <si>
    <t>math-102-03-14@student.local</t>
  </si>
  <si>
    <t>$2y$10$nmvfV31akerWwRIlXmdc7.efNekkoG4lVrfesoIeg/anhYLPoE7wG</t>
  </si>
  <si>
    <t>math-102-04-14@student.local</t>
  </si>
  <si>
    <t>$2y$10$TgyyxhKoSS/QpD4VX8BLZuyCuSC9EheSeVn/.9wt/Z1mYulmMCRKO</t>
  </si>
  <si>
    <t>Noah Rivera</t>
  </si>
  <si>
    <t>eng-103-05-14@student.local</t>
  </si>
  <si>
    <t>$2y$10$qHCHEToknU8rtsIsqlgcteNgWqskZKMY6BlXBd1.yDanvflG34xZa</t>
  </si>
  <si>
    <t>Amelia Mendoza</t>
  </si>
  <si>
    <t>fil-005-01-15@student.local</t>
  </si>
  <si>
    <t>$2y$10$tdNnX6G/EhdQz4Bc7tBBduoavDfy1DUB.E//qyIWVt4YdUMA9fErm</t>
  </si>
  <si>
    <t>Isabella Ramos</t>
  </si>
  <si>
    <t>sci-101-02-15@student.local</t>
  </si>
  <si>
    <t>$2y$10$dPdg9Pm3.xyMxqfgMuAlae487BScAb8htRymjFz35GM1VDCdvs4vO</t>
  </si>
  <si>
    <t>Amelia Reyes</t>
  </si>
  <si>
    <t>math-102-03-15@student.local</t>
  </si>
  <si>
    <t>$2y$10$rDUxd15bmGsZDb8w8WcdleNy2M2R/hhtGwrGDBqwbkU/fNDX.ZWcK</t>
  </si>
  <si>
    <t>Alexander Ramos</t>
  </si>
  <si>
    <t>math-102-04-15@student.local</t>
  </si>
  <si>
    <t>$2y$10$DUPTVahWHcdi5uxFp4IWfu/MLFHp6ZWm.eV23XGmertPW76Me1d.i</t>
  </si>
  <si>
    <t>Amelia Garcia</t>
  </si>
  <si>
    <t>eng-103-05-15@student.local</t>
  </si>
  <si>
    <t>$2y$10$0ESQZGaCiQcCvhvHcGVKhufsiY4CseFUu7VlqpBgcJOn4eX0/DyH.</t>
  </si>
  <si>
    <t>$2y$10$X99fAqMef9uUWQGk1x/YZ.9kU.Ba/iA/6PdSVU.vS9O3/O3ivl8dK</t>
  </si>
  <si>
    <t>$2y$10$7tP8LwL1.mFVPuX/mKswhurnXLMfLO2R5DTJ80wbmvVORpFiQHNCe</t>
  </si>
  <si>
    <t>fil-005-01-01</t>
  </si>
  <si>
    <t>$2y$10$CCxSO8dax.SIeeESUXvCwurUJt6Jmvd.KYlc3UsS9qPc5RUeIq2tO</t>
  </si>
  <si>
    <t>sci-101-02-01</t>
  </si>
  <si>
    <t>$2y$10$uFDh79SEh68fLycmiFm.l.ZwIfeaSV/Gr3o0ZXg.QK7Wy8iPtEadS</t>
  </si>
  <si>
    <t>math-102-03-01</t>
  </si>
  <si>
    <t>$2y$10$xP/RzOi9CZVOAR69HunX/uCb/uUSo52h5wgIsgIaloLdDqpb6kh9K</t>
  </si>
  <si>
    <t>math-102-04-01</t>
  </si>
  <si>
    <t>$2y$10$.cZivmSBuewgBTUdlLxIQetwUa1XIS4KoZy5BSKw/zfCmykshphyW</t>
  </si>
  <si>
    <t>eng-103-05-01</t>
  </si>
  <si>
    <t>$2y$10$dzde5vrmAMQG08BZp4MxsOVmVF1VcX5Nyxa.PG.AP0G.ia48CiiBe</t>
  </si>
  <si>
    <t>fil-005-01-02</t>
  </si>
  <si>
    <t>$2y$10$b0jvLf5.Zc5oRNqFVEI4purz9NGlyU7c/ERN87c6TloHEBynTP1uG</t>
  </si>
  <si>
    <t>sci-101-02-02</t>
  </si>
  <si>
    <t>$2y$10$UaoUL1I0nTV3w3aUGysV5eTvKnqLr9VKDrOoBAuWZbcAjQgcB4XLe</t>
  </si>
  <si>
    <t>math-102-03-02</t>
  </si>
  <si>
    <t>$2y$10$jVgE5bXZTBm.mPuLhOdpt.yz59/NSVc87PKoqDDSrPQPZs/D3qQ.y</t>
  </si>
  <si>
    <t>math-102-04-02</t>
  </si>
  <si>
    <t>$2y$10$cpAlY9bLYVfa3TajTky07.O/XYaMo1biJjgl0qD4G3rTsPU2ilJR6</t>
  </si>
  <si>
    <t>eng-103-05-02</t>
  </si>
  <si>
    <t>$2y$10$VVJJBLIrQNWMDCLtLwkvBeEvc8Y9444T8ycv7AkEI69iF3IhakhRm</t>
  </si>
  <si>
    <t>fil-005-01-03</t>
  </si>
  <si>
    <t>$2y$10$zjjGZ9/KiSR0xM.hMZqkA.AXXmKnI6yNWVlX1zxNyfYoGfKsxjed2</t>
  </si>
  <si>
    <t>sci-101-02-03</t>
  </si>
  <si>
    <t>$2y$10$Fq/xJ.y23AoGUx1HgcJPAeqxAmu4SIdnASRWyBDOvRBmUJRcYNWdq</t>
  </si>
  <si>
    <t>math-102-03-03</t>
  </si>
  <si>
    <t>$2y$10$t0sPit.D9ZvFMo.ECnNE9.MNB/8xg/UY4knz/Jcocm5ro7QY5cL6m</t>
  </si>
  <si>
    <t>math-102-04-03</t>
  </si>
  <si>
    <t>$2y$10$4dU/uweoaJhPTPAyggvJC.aoZi1dbTivVHnPbB/vAzbR0v.sOpPva</t>
  </si>
  <si>
    <t>eng-103-05-03</t>
  </si>
  <si>
    <t>$2y$10$BkAJeHqJHRl.byHmWumafuNca9hWu.ZioeZTvk5IgPU4qXor0xmKC</t>
  </si>
  <si>
    <t>fil-005-01-04</t>
  </si>
  <si>
    <t>$2y$10$A0xaDRzzEiqrGstYP919we/As.Dr.gFG0NVuEVObwBZ/cpRDjnefa</t>
  </si>
  <si>
    <t>sci-101-02-04</t>
  </si>
  <si>
    <t>$2y$10$tfyVotI8ekvl7KzrOkgrw.eE1xw8JgmQzIvlpQYcsXm37t6MHYMEa</t>
  </si>
  <si>
    <t>math-102-03-04</t>
  </si>
  <si>
    <t>$2y$10$U.UeYIP/tWj.15r.1KrX9eXkxSLaFmDStC6R3TGiMaGASGEjY3uX.</t>
  </si>
  <si>
    <t>math-102-04-04</t>
  </si>
  <si>
    <t>$2y$10$EVcnre3kMSLV0zHIn4GX4eKCeb22Fbuyl86fZKMRbjDg09j.zlCm6</t>
  </si>
  <si>
    <t>eng-103-05-04</t>
  </si>
  <si>
    <t>$2y$10$Uzwq5OELUtUJU1fwjpHQmem3QXWckCluxA/tMNbHdu/x3qqz3Xvl6</t>
  </si>
  <si>
    <t>fil-005-01-05</t>
  </si>
  <si>
    <t>$2y$10$8uFwLsC9RN2S/ajcNCmnVOOEr4J3nxoqAof76IlVFIzezatlUARcC</t>
  </si>
  <si>
    <t>sci-101-02-05</t>
  </si>
  <si>
    <t>$2y$10$VDm2h8vxfelA63kNaT6XEen7CJLM719cHLY0Adfrvacod4y.G2E0C</t>
  </si>
  <si>
    <t>math-102-03-05</t>
  </si>
  <si>
    <t>$2y$10$iQfW6Ehw87LfnrH/5DjdAu4fFtJ5zcgcZNrDzQq/fUoQsRZ.6W98e</t>
  </si>
  <si>
    <t>math-102-04-05</t>
  </si>
  <si>
    <t>$2y$10$x.aPx2Z8fYQOIwg4AWJNOeBxz1fDzedZS93sHTn1LKfTRtbQclLDe</t>
  </si>
  <si>
    <t>eng-103-05-05</t>
  </si>
  <si>
    <t>$2y$10$K3HxMcdDwPhHx8v2hOor4.JXAWWS71x6/Ltc8lv8EUxI3X6ZjAO3C</t>
  </si>
  <si>
    <t>fil-005-01-06</t>
  </si>
  <si>
    <t>$2y$10$28dJ0FySIY.opgO157o2QOZeacbQd754/Y13XO6kAivguGNZJwvuK</t>
  </si>
  <si>
    <t>sci-101-02-06</t>
  </si>
  <si>
    <t>$2y$10$jNVUZhKrDVefx.PylQP/RuSgMqgyLEDhKHTB173W7rx5YFHREn2w6</t>
  </si>
  <si>
    <t>math-102-03-06</t>
  </si>
  <si>
    <t>$2y$10$2cNujSkqeBjWMO.0l7wiru/40ExJ5wvL8G2itNX5r6upkZZC4GmeW</t>
  </si>
  <si>
    <t>math-102-04-06</t>
  </si>
  <si>
    <t>$2y$10$JcinRKzcjjxB1U9Qeo5yTu/j1yH8kTAIvnCJ4Y98BKgrLnQDPFKqm</t>
  </si>
  <si>
    <t>eng-103-05-06</t>
  </si>
  <si>
    <t>$2y$10$Th.3qZRc.12D5.7j/t2yHOz2Rt2DQEpeYRGwWh6jN2tmVsd7RO5mW</t>
  </si>
  <si>
    <t>fil-005-01-07</t>
  </si>
  <si>
    <t>$2y$10$37mQB1A20BFYgdaY.Zg5DeyHC/8tB6oAO4AoVeuI0ddOXis7Um.M.</t>
  </si>
  <si>
    <t>sci-101-02-07</t>
  </si>
  <si>
    <t>$2y$10$ISP5Nflr6vWMV.n0zFkVme6K51YsOoLTYsEKRnc54Htrgc7vLP4Ny</t>
  </si>
  <si>
    <t>math-102-03-07</t>
  </si>
  <si>
    <t>$2y$10$b6ovN5pEuqLN6OW87JTi7OnitgfP5hW/xnFBoT0k7Ag73c3WUKRN.</t>
  </si>
  <si>
    <t>math-102-04-07</t>
  </si>
  <si>
    <t>$2y$10$NEBPooceCarL3Q7hbFLpse8d0jjjJsGha4jtFBWoyyDeaYqsWCBrS</t>
  </si>
  <si>
    <t>eng-103-05-07</t>
  </si>
  <si>
    <t>$2y$10$Q1Fbm3qKNrbqufUJz4.wfuhxoRjoElVDw6kHI4OAgLU.dmqFQQ8wq</t>
  </si>
  <si>
    <t>fil-005-01-08</t>
  </si>
  <si>
    <t>$2y$10$2eDBucw.OKHGhwtP0VGU1eyJw/XltA23PEdremsWjb0QHX/RUaQkW</t>
  </si>
  <si>
    <t>sci-101-02-08</t>
  </si>
  <si>
    <t>$2y$10$SM67FFEwB2zg9lrjQBlSiOl0GhIX3IigRmKINiT4b7inCtaW4SOgW</t>
  </si>
  <si>
    <t>math-102-03-08</t>
  </si>
  <si>
    <t>$2y$10$GKwN7FWOEGm.musjZ0O.xeTwtLakHPpFpv43BjpwvHdvowZe1Stl6</t>
  </si>
  <si>
    <t>math-102-04-08</t>
  </si>
  <si>
    <t>$2y$10$3GoWX6w/7Wt1bm38iB3CSeBf6EXeSgbnzW8wTmlctm5.zh.nU1IQS</t>
  </si>
  <si>
    <t>eng-103-05-08</t>
  </si>
  <si>
    <t>$2y$10$E/I8QkKrzkBPY5WCNH1dEu9Wsf1FESDxlMUBDHLyxKQJ5p1wvO0.a</t>
  </si>
  <si>
    <t>fil-005-01-09</t>
  </si>
  <si>
    <t>$2y$10$2nh2gdsHUxS.C7Q0hoK0BOXeNdHLvqsLNgIC1ZidPBIyrzAzMmiGG</t>
  </si>
  <si>
    <t>sci-101-02-09</t>
  </si>
  <si>
    <t>$2y$10$JmV34/ppUIo2MjHpVsw2iuoCsbZLLxnVN/xsy8Ar8j4SMnsGvcHVC</t>
  </si>
  <si>
    <t>math-102-03-09</t>
  </si>
  <si>
    <t>$2y$10$kRWO3LL.tJwJpPMzFV1QtOeTF5K.R3bDifYo7PYRM/JIEq6sWvPyO</t>
  </si>
  <si>
    <t>math-102-04-09</t>
  </si>
  <si>
    <t>$2y$10$Pp/5SbFMkSk4FNGta8Tkq.jXZu17Qm4QgOrX8wNcfNzjUhjnuQMpu</t>
  </si>
  <si>
    <t>eng-103-05-09</t>
  </si>
  <si>
    <t>$2y$10$BgxSM1dklVivvFAX78ov/eipGHqKG4ZzafN0R0CrlnczQHtELcXba</t>
  </si>
  <si>
    <t>fil-005-01-10</t>
  </si>
  <si>
    <t>$2y$10$szo4Hm/3.SVSKjHgrYPgoulW.vHq4H0TqWI1Dg1bsBT7FQdgBmgve</t>
  </si>
  <si>
    <t>sci-101-02-10</t>
  </si>
  <si>
    <t>$2y$10$w9cyzyilyZBw13mq90IVDOgRuYQqo2drccNquqp5QInyrBxLiPSwe</t>
  </si>
  <si>
    <t>math-102-03-10</t>
  </si>
  <si>
    <t>$2y$10$VOOi.dlnOHuBp5zoLGPSs.QR9qpOAS2SQXW67PlsdVhSg3OabRzrC</t>
  </si>
  <si>
    <t>math-102-04-10</t>
  </si>
  <si>
    <t>$2y$10$XvGHN1ynJ8SjL05NiOU8turoVs442eEGwSy/0nrSEvcaH9YWYShPq</t>
  </si>
  <si>
    <t>eng-103-05-10</t>
  </si>
  <si>
    <t>$2y$10$eU/uZCIVGq6QxOym/1AUkeNSlMthtlCbzikb8ZXS5kGhpAlKZ5eeW</t>
  </si>
  <si>
    <t>fil-005-01-11</t>
  </si>
  <si>
    <t>$2y$10$Z81OLL1zUtGZ822L2YgVauTLX82I1/UK4QoKNAtTkU7/GeMdIgiKK</t>
  </si>
  <si>
    <t>sci-101-02-11</t>
  </si>
  <si>
    <t>$2y$10$PWylbY8I9iP.17AkjLcgvOsjpiF88hnekGRemORfonof9Q.FoLPk2</t>
  </si>
  <si>
    <t>math-102-03-11</t>
  </si>
  <si>
    <t>$2y$10$SNCBNY.KS90c7my74B1QqO0Z/J2Vdke6ephCfCIDz2ANVeTOPH9XO</t>
  </si>
  <si>
    <t>math-102-04-11</t>
  </si>
  <si>
    <t>$2y$10$vajupvujBhYJM/7AfAte0uIeF1pCG8LbAwop0tjgZYBx8WWEeeJMS</t>
  </si>
  <si>
    <t>eng-103-05-11</t>
  </si>
  <si>
    <t>$2y$10$Ox3Aiex5afaD/EK6cW/WouU2a3/rTxY5Gay2Wqcy/6yDezKot1j9C</t>
  </si>
  <si>
    <t>fil-005-01-12</t>
  </si>
  <si>
    <t>$2y$10$O0Kux2HOrPRpo9UySuvsG.gTxkouQ9aTpATgS5rEmWh0LHchuNKi.</t>
  </si>
  <si>
    <t>sci-101-02-12</t>
  </si>
  <si>
    <t>$2y$10$jgOvtva3WWFYBL54LXCXiee6EN9h05ziQYtTzOerPrac6Fkkw2IO.</t>
  </si>
  <si>
    <t>math-102-03-12</t>
  </si>
  <si>
    <t>$2y$10$wmff3xGQoGYppR8UhzvMTuh4TF9.eT7QtvlFEwQWWYlSXzIhfZ666</t>
  </si>
  <si>
    <t>math-102-04-12</t>
  </si>
  <si>
    <t>$2y$10$YBjnUhchWnStLC318RVpReq8aJFgqRUqnByZUQet7SqiWkucnUbDS</t>
  </si>
  <si>
    <t>eng-103-05-12</t>
  </si>
  <si>
    <t>$2y$10$ObF1ZgLLzwcirlcFZj0Bu.9KJRmeW/Nbr8n0TBq/zpsnxxJTmM36m</t>
  </si>
  <si>
    <t>fil-005-01-13</t>
  </si>
  <si>
    <t>$2y$10$KoIi2Fp.b2Uptm8w1d4.leRY.upbC2L7/pPjHaoaltgDgbUsRoKzq</t>
  </si>
  <si>
    <t>sci-101-02-13</t>
  </si>
  <si>
    <t>$2y$10$kzaD.iIqeEpFrKlcIkIrOe/VVbHUupAJLMFco.ABnx2aNNJA8m592</t>
  </si>
  <si>
    <t>math-102-03-13</t>
  </si>
  <si>
    <t>$2y$10$B5e8MqyKBljoiUoxbssQwOT8sFwj.eVHy9onJYjwFNHOQ3AkH/KF2</t>
  </si>
  <si>
    <t>math-102-04-13</t>
  </si>
  <si>
    <t>$2y$10$yW4Sd3ZSLMrMPeRpAXkKIextSdKSsXUcL3G895ow2D05rvfHcpOLC</t>
  </si>
  <si>
    <t>eng-103-05-13</t>
  </si>
  <si>
    <t>$2y$10$azM/IxarBC41mfY0ZyyDmurSn9IFHradf3NL1bKa4NcuUrygr8zgW</t>
  </si>
  <si>
    <t>fil-005-01-14</t>
  </si>
  <si>
    <t>$2y$10$Y4sPrqMt8VDucspTBT8bXud0rsOntzGX8StaapdjjEoXwYD.fIN22</t>
  </si>
  <si>
    <t>sci-101-02-14</t>
  </si>
  <si>
    <t>$2y$10$Qa6v4Gg/OgJxq5NtIwI.PuJK0l7NJjXEzDhBkiKNjqsZm96b2BcqW</t>
  </si>
  <si>
    <t>math-102-03-14</t>
  </si>
  <si>
    <t>$2y$10$dVwGLXn6V1bp9ZpD5FDaOOYeJDvskiFLUkAdA0HCXKfBMeA0ZSQn2</t>
  </si>
  <si>
    <t>math-102-04-14</t>
  </si>
  <si>
    <t>$2y$10$/0Slb8UzFm0lkWQ4gdyUPutX9N3wF5PcyqFJxWlt7dPXZyHact91u</t>
  </si>
  <si>
    <t>eng-103-05-14</t>
  </si>
  <si>
    <t>$2y$10$WwgHxyg/zTi6dbHEN2skXO2UQhvo50ezzAOLNfyb.Lss.omQC6d.u</t>
  </si>
  <si>
    <t>fil-005-01-15</t>
  </si>
  <si>
    <t>$2y$10$ijztoYQPoVBPRJL/lqb2requHMjVCIRD1W4nrwbY2bSflKLYtQKUG</t>
  </si>
  <si>
    <t>sci-101-02-15</t>
  </si>
  <si>
    <t>$2y$10$oLxjrMsZHnSuky9UP3BaOOcTtlL0MJsDq9ZgoMKdGvdyYn3b6Yg7S</t>
  </si>
  <si>
    <t>math-102-03-15</t>
  </si>
  <si>
    <t>$2y$10$uO7xXyoz0viXwuCkycbusuh4RFNJ17aCFucDZRvVDx1Xiec.BbuQC</t>
  </si>
  <si>
    <t>math-102-04-15</t>
  </si>
  <si>
    <t>$2y$10$EV1BCEH9lgT4A4PjpnmIke1fFy2.iG2sEsW38ICsJtVqISc1wgBNq</t>
  </si>
  <si>
    <t>eng-103-05-15</t>
  </si>
  <si>
    <t>$2y$10$EjCGGHx9t.sV.kqqRQZ7z.3kT3S0172gHn9PeAs57RDFZm7W1eLny</t>
  </si>
  <si>
    <t>JAPHET DOROIN</t>
  </si>
  <si>
    <t>$2y$10$y64ZKqo1Esws8V.f4LZpD.Q2lX3SDt2kHG6vEPB8983BMZp/yWqK.</t>
  </si>
  <si>
    <t>Row Labels</t>
  </si>
  <si>
    <t>Grand Total</t>
  </si>
  <si>
    <t>Column Labels</t>
  </si>
  <si>
    <t>Count of status</t>
  </si>
  <si>
    <t>Count of subject</t>
  </si>
  <si>
    <t>Count of gender</t>
  </si>
  <si>
    <t>Count of last_name</t>
  </si>
  <si>
    <t>PRESENT</t>
  </si>
  <si>
    <t>ABSENT</t>
  </si>
  <si>
    <t>LATE</t>
  </si>
  <si>
    <t>Count of remarks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</si>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</sst>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x14ac:knownFonts="1">
    <font>
      <sz val="11"/>
      <color theme="1"/>
      <name val="Calibri"/>
      <family val="2"/>
      <scheme val="minor"/>
    </font>
    <font>
      <sz val="36"/>
      <color theme="1"/>
      <name val="Calibri"/>
      <family val="2"/>
      <scheme val="minor"/>
    </font>
    <font>
      <sz val="72"/>
      <color theme="1"/>
      <name val="Calibri"/>
      <family val="2"/>
      <scheme val="minor"/>
    </font>
    <font>
      <b/>
      <i/>
      <sz val="16"/>
      <color theme="0"/>
      <name val="Calibri"/>
      <family val="2"/>
      <scheme val="minor"/>
    </font>
    <font>
      <sz val="48"/>
      <color theme="1"/>
      <name val="Calibri"/>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2"/>
        <bgColor indexed="64"/>
      </patternFill>
    </fill>
    <fill>
      <patternFill patternType="solid">
        <fgColor theme="4"/>
        <bgColor indexed="64"/>
      </patternFill>
    </fill>
    <fill>
      <patternFill patternType="solid">
        <fgColor rgb="FFC00000"/>
        <bgColor indexed="64"/>
      </patternFill>
    </fill>
    <fill>
      <patternFill patternType="solid">
        <fgColor rgb="FF00B050"/>
        <bgColor indexed="64"/>
      </patternFill>
    </fill>
    <fill>
      <patternFill patternType="solid">
        <fgColor theme="8"/>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0" fillId="0" borderId="0" xfId="0" applyNumberFormat="1"/>
    <xf numFmtId="22" fontId="0" fillId="0" borderId="0" xfId="0" applyNumberForma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1" fillId="3" borderId="0" xfId="0" applyFont="1" applyFill="1"/>
    <xf numFmtId="0" fontId="1" fillId="2" borderId="0" xfId="0" applyFont="1" applyFill="1"/>
    <xf numFmtId="0" fontId="0" fillId="4" borderId="0" xfId="0" applyFill="1"/>
    <xf numFmtId="0" fontId="0" fillId="5" borderId="0" xfId="0" applyFill="1"/>
    <xf numFmtId="0" fontId="1" fillId="5" borderId="0" xfId="0" applyFont="1" applyFill="1"/>
    <xf numFmtId="0" fontId="0" fillId="6" borderId="0" xfId="0" applyFill="1"/>
    <xf numFmtId="0" fontId="0" fillId="7" borderId="0" xfId="0" applyFill="1"/>
    <xf numFmtId="0" fontId="1" fillId="7" borderId="0" xfId="0" applyFont="1" applyFill="1"/>
    <xf numFmtId="0" fontId="2" fillId="3" borderId="0" xfId="0" applyFont="1" applyFill="1" applyAlignment="1">
      <alignment horizontal="center" vertical="center"/>
    </xf>
    <xf numFmtId="0" fontId="2" fillId="0" borderId="0" xfId="0" applyFont="1" applyAlignment="1">
      <alignment horizontal="center" vertical="center"/>
    </xf>
    <xf numFmtId="0" fontId="3" fillId="2" borderId="0" xfId="0" applyFont="1" applyFill="1"/>
    <xf numFmtId="0" fontId="4" fillId="4" borderId="0" xfId="0" applyFont="1" applyFill="1"/>
  </cellXfs>
  <cellStyles count="1">
    <cellStyle name="Normal" xfId="0" builtinId="0"/>
  </cellStyles>
  <dxfs count="42">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164" formatCode="[$-F400]h:mm:ss\ AM/PM"/>
    </dxf>
    <dxf>
      <numFmt numFmtId="164" formatCode="[$-F400]h:mm:ss\ AM/PM"/>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27" formatCode="m/d/yyyy\ h:mm"/>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19" formatCode="m/d/yyyy"/>
    </dxf>
    <dxf>
      <numFmt numFmtId="27" formatCode="m/d/yyyy\ h:mm"/>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[exceldashboard.xlsx]SCHED!PivotTable3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SCHED!$B$3:$B$4</c:f>
              <c:strCache>
                <c:ptCount val="1"/>
                <c:pt idx="0">
                  <c:v>ENGLISH</c:v>
                </c:pt>
              </c:strCache>
            </c:strRef>
          </c:tx>
          <c:spPr>
            <a:solidFill>
              <a:schemeClr val="accent1"/>
            </a:solidFill>
            <a:ln>
              <a:noFill/>
            </a:ln>
            <a:effectLst/>
            <a:sp3d/>
          </c:spPr>
          <c:invertIfNegative val="0"/>
          <c:cat>
            <c:strRef>
              <c:f>SCHED!$A$5:$A$9</c:f>
              <c:strCache>
                <c:ptCount val="4"/>
                <c:pt idx="0">
                  <c:v>GRADE 10</c:v>
                </c:pt>
                <c:pt idx="1">
                  <c:v>GRADE 7</c:v>
                </c:pt>
                <c:pt idx="2">
                  <c:v>GRADE 8</c:v>
                </c:pt>
                <c:pt idx="3">
                  <c:v>GRADE 9</c:v>
                </c:pt>
              </c:strCache>
            </c:strRef>
          </c:cat>
          <c:val>
            <c:numRef>
              <c:f>SCHED!$B$5:$B$9</c:f>
              <c:numCache>
                <c:formatCode>General</c:formatCode>
                <c:ptCount val="4"/>
                <c:pt idx="1">
                  <c:v>1</c:v>
                </c:pt>
              </c:numCache>
            </c:numRef>
          </c:val>
          <c:extLst>
            <c:ext xmlns:c16="http://schemas.microsoft.com/office/drawing/2014/chart" uri="{C3380CC4-5D6E-409C-BE32-E72D297353CC}">
              <c16:uniqueId val="{00000000-2C17-4EE7-A3A3-05844B32E046}"/>
            </c:ext>
          </c:extLst>
        </c:ser>
        <c:ser>
          <c:idx val="1"/>
          <c:order val="1"/>
          <c:tx>
            <c:strRef>
              <c:f>SCHED!$C$3:$C$4</c:f>
              <c:strCache>
                <c:ptCount val="1"/>
                <c:pt idx="0">
                  <c:v>FILIPINO</c:v>
                </c:pt>
              </c:strCache>
            </c:strRef>
          </c:tx>
          <c:spPr>
            <a:solidFill>
              <a:schemeClr val="accent2"/>
            </a:solidFill>
            <a:ln>
              <a:noFill/>
            </a:ln>
            <a:effectLst/>
            <a:sp3d/>
          </c:spPr>
          <c:invertIfNegative val="0"/>
          <c:cat>
            <c:strRef>
              <c:f>SCHED!$A$5:$A$9</c:f>
              <c:strCache>
                <c:ptCount val="4"/>
                <c:pt idx="0">
                  <c:v>GRADE 10</c:v>
                </c:pt>
                <c:pt idx="1">
                  <c:v>GRADE 7</c:v>
                </c:pt>
                <c:pt idx="2">
                  <c:v>GRADE 8</c:v>
                </c:pt>
                <c:pt idx="3">
                  <c:v>GRADE 9</c:v>
                </c:pt>
              </c:strCache>
            </c:strRef>
          </c:cat>
          <c:val>
            <c:numRef>
              <c:f>SCHED!$C$5:$C$9</c:f>
              <c:numCache>
                <c:formatCode>General</c:formatCode>
                <c:ptCount val="4"/>
                <c:pt idx="0">
                  <c:v>1</c:v>
                </c:pt>
              </c:numCache>
            </c:numRef>
          </c:val>
          <c:extLst>
            <c:ext xmlns:c16="http://schemas.microsoft.com/office/drawing/2014/chart" uri="{C3380CC4-5D6E-409C-BE32-E72D297353CC}">
              <c16:uniqueId val="{00000008-2C17-4EE7-A3A3-05844B32E046}"/>
            </c:ext>
          </c:extLst>
        </c:ser>
        <c:ser>
          <c:idx val="2"/>
          <c:order val="2"/>
          <c:tx>
            <c:strRef>
              <c:f>SCHED!$D$3:$D$4</c:f>
              <c:strCache>
                <c:ptCount val="1"/>
                <c:pt idx="0">
                  <c:v>MATHEMATICS</c:v>
                </c:pt>
              </c:strCache>
            </c:strRef>
          </c:tx>
          <c:spPr>
            <a:solidFill>
              <a:schemeClr val="accent3"/>
            </a:solidFill>
            <a:ln>
              <a:noFill/>
            </a:ln>
            <a:effectLst/>
            <a:sp3d/>
          </c:spPr>
          <c:invertIfNegative val="0"/>
          <c:cat>
            <c:strRef>
              <c:f>SCHED!$A$5:$A$9</c:f>
              <c:strCache>
                <c:ptCount val="4"/>
                <c:pt idx="0">
                  <c:v>GRADE 10</c:v>
                </c:pt>
                <c:pt idx="1">
                  <c:v>GRADE 7</c:v>
                </c:pt>
                <c:pt idx="2">
                  <c:v>GRADE 8</c:v>
                </c:pt>
                <c:pt idx="3">
                  <c:v>GRADE 9</c:v>
                </c:pt>
              </c:strCache>
            </c:strRef>
          </c:cat>
          <c:val>
            <c:numRef>
              <c:f>SCHED!$D$5:$D$9</c:f>
              <c:numCache>
                <c:formatCode>General</c:formatCode>
                <c:ptCount val="4"/>
                <c:pt idx="2">
                  <c:v>2</c:v>
                </c:pt>
              </c:numCache>
            </c:numRef>
          </c:val>
          <c:extLst>
            <c:ext xmlns:c16="http://schemas.microsoft.com/office/drawing/2014/chart" uri="{C3380CC4-5D6E-409C-BE32-E72D297353CC}">
              <c16:uniqueId val="{00000009-2C17-4EE7-A3A3-05844B32E046}"/>
            </c:ext>
          </c:extLst>
        </c:ser>
        <c:ser>
          <c:idx val="3"/>
          <c:order val="3"/>
          <c:tx>
            <c:strRef>
              <c:f>SCHED!$E$3:$E$4</c:f>
              <c:strCache>
                <c:ptCount val="1"/>
                <c:pt idx="0">
                  <c:v>SCIENCE</c:v>
                </c:pt>
              </c:strCache>
            </c:strRef>
          </c:tx>
          <c:spPr>
            <a:solidFill>
              <a:schemeClr val="accent4"/>
            </a:solidFill>
            <a:ln>
              <a:noFill/>
            </a:ln>
            <a:effectLst/>
            <a:sp3d/>
          </c:spPr>
          <c:invertIfNegative val="0"/>
          <c:cat>
            <c:strRef>
              <c:f>SCHED!$A$5:$A$9</c:f>
              <c:strCache>
                <c:ptCount val="4"/>
                <c:pt idx="0">
                  <c:v>GRADE 10</c:v>
                </c:pt>
                <c:pt idx="1">
                  <c:v>GRADE 7</c:v>
                </c:pt>
                <c:pt idx="2">
                  <c:v>GRADE 8</c:v>
                </c:pt>
                <c:pt idx="3">
                  <c:v>GRADE 9</c:v>
                </c:pt>
              </c:strCache>
            </c:strRef>
          </c:cat>
          <c:val>
            <c:numRef>
              <c:f>SCHED!$E$5:$E$9</c:f>
              <c:numCache>
                <c:formatCode>General</c:formatCode>
                <c:ptCount val="4"/>
                <c:pt idx="3">
                  <c:v>1</c:v>
                </c:pt>
              </c:numCache>
            </c:numRef>
          </c:val>
          <c:extLst>
            <c:ext xmlns:c16="http://schemas.microsoft.com/office/drawing/2014/chart" uri="{C3380CC4-5D6E-409C-BE32-E72D297353CC}">
              <c16:uniqueId val="{0000000A-2C17-4EE7-A3A3-05844B32E046}"/>
            </c:ext>
          </c:extLst>
        </c:ser>
        <c:dLbls>
          <c:showLegendKey val="0"/>
          <c:showVal val="0"/>
          <c:showCatName val="0"/>
          <c:showSerName val="0"/>
          <c:showPercent val="0"/>
          <c:showBubbleSize val="0"/>
        </c:dLbls>
        <c:gapWidth val="150"/>
        <c:shape val="box"/>
        <c:axId val="545532048"/>
        <c:axId val="545532528"/>
        <c:axId val="0"/>
      </c:bar3DChart>
      <c:catAx>
        <c:axId val="54553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32528"/>
        <c:crosses val="autoZero"/>
        <c:auto val="1"/>
        <c:lblAlgn val="ctr"/>
        <c:lblOffset val="100"/>
        <c:noMultiLvlLbl val="0"/>
      </c:catAx>
      <c:valAx>
        <c:axId val="545532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3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[exceldashboard.xlsx]FINAL!PivotTable7</c:name>
    <c:fmtId val="0"/>
  </c:pivotSource>
  <c:chart>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FINAL!$B$3:$B$4</c:f>
              <c:strCache>
                <c:ptCount val="1"/>
                <c:pt idx="0">
                  <c:v>FAILED</c:v>
                </c:pt>
              </c:strCache>
            </c:strRef>
          </c:tx>
          <c:spPr>
            <a:solidFill>
              <a:schemeClr val="accent1"/>
            </a:solidFill>
            <a:ln>
              <a:noFill/>
            </a:ln>
            <a:effectLst/>
            <a:sp3d/>
          </c:spPr>
          <c:invertIfNegative val="0"/>
          <c:cat>
            <c:strRef>
              <c:f>FINAL!$A$5</c:f>
              <c:strCache>
                <c:ptCount val="1"/>
                <c:pt idx="0">
                  <c:v>Total</c:v>
                </c:pt>
              </c:strCache>
            </c:strRef>
          </c:cat>
          <c:val>
            <c:numRef>
              <c:f>FINAL!$B$5</c:f>
              <c:numCache>
                <c:formatCode>General</c:formatCode>
                <c:ptCount val="1"/>
                <c:pt idx="0">
                  <c:v>1</c:v>
                </c:pt>
              </c:numCache>
            </c:numRef>
          </c:val>
          <c:extLst>
            <c:ext xmlns:c16="http://schemas.microsoft.com/office/drawing/2014/chart" uri="{C3380CC4-5D6E-409C-BE32-E72D297353CC}">
              <c16:uniqueId val="{00000000-D324-42B9-8D7B-F3317E28AC7F}"/>
            </c:ext>
          </c:extLst>
        </c:ser>
        <c:ser>
          <c:idx val="1"/>
          <c:order val="1"/>
          <c:tx>
            <c:strRef>
              <c:f>FINAL!$C$3:$C$4</c:f>
              <c:strCache>
                <c:ptCount val="1"/>
                <c:pt idx="0">
                  <c:v>PASSED</c:v>
                </c:pt>
              </c:strCache>
            </c:strRef>
          </c:tx>
          <c:spPr>
            <a:solidFill>
              <a:schemeClr val="accent2"/>
            </a:solidFill>
            <a:ln>
              <a:noFill/>
            </a:ln>
            <a:effectLst/>
            <a:sp3d/>
          </c:spPr>
          <c:invertIfNegative val="0"/>
          <c:cat>
            <c:strRef>
              <c:f>FINAL!$A$5</c:f>
              <c:strCache>
                <c:ptCount val="1"/>
                <c:pt idx="0">
                  <c:v>Total</c:v>
                </c:pt>
              </c:strCache>
            </c:strRef>
          </c:cat>
          <c:val>
            <c:numRef>
              <c:f>FINAL!$C$5</c:f>
              <c:numCache>
                <c:formatCode>General</c:formatCode>
                <c:ptCount val="1"/>
                <c:pt idx="0">
                  <c:v>2</c:v>
                </c:pt>
              </c:numCache>
            </c:numRef>
          </c:val>
          <c:extLst>
            <c:ext xmlns:c16="http://schemas.microsoft.com/office/drawing/2014/chart" uri="{C3380CC4-5D6E-409C-BE32-E72D297353CC}">
              <c16:uniqueId val="{00000001-D324-42B9-8D7B-F3317E28AC7F}"/>
            </c:ext>
          </c:extLst>
        </c:ser>
        <c:dLbls>
          <c:showLegendKey val="0"/>
          <c:showVal val="0"/>
          <c:showCatName val="0"/>
          <c:showSerName val="0"/>
          <c:showPercent val="0"/>
          <c:showBubbleSize val="0"/>
        </c:dLbls>
        <c:gapWidth val="150"/>
        <c:shape val="box"/>
        <c:axId val="1906967840"/>
        <c:axId val="1906966880"/>
        <c:axId val="0"/>
      </c:bar3DChart>
      <c:catAx>
        <c:axId val="190696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06966880"/>
        <c:crosses val="autoZero"/>
        <c:auto val="1"/>
        <c:lblAlgn val="ctr"/>
        <c:lblOffset val="100"/>
        <c:noMultiLvlLbl val="0"/>
      </c:catAx>
      <c:valAx>
        <c:axId val="19069668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[exceldashboard.xlsx]STUD!PivotTable4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STUD!$B$3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STUD!$A$4:$A$6</c:f>
              <c:strCache>
                <c:ptCount val="2"/>
                <c:pt idx="0">
                  <c:v>Female</c:v>
                </c:pt>
                <c:pt idx="1">
                  <c:v>Male</c:v>
                </c:pt>
              </c:strCache>
            </c:strRef>
          </c:cat>
          <c:val>
            <c:numRef>
              <c:f>STUD!$B$4:$B$6</c:f>
              <c:numCache>
                <c:formatCode>General</c:formatCode>
                <c:ptCount val="2"/>
                <c:pt idx="0">
                  <c:v>35</c:v>
                </c:pt>
                <c:pt idx="1">
                  <c:v>44</c:v>
                </c:pt>
              </c:numCache>
            </c:numRef>
          </c:val>
          <c:extLst>
            <c:ext xmlns:c16="http://schemas.microsoft.com/office/drawing/2014/chart" uri="{C3380CC4-5D6E-409C-BE32-E72D297353CC}">
              <c16:uniqueId val="{00000000-1A5C-4994-8423-339BB33B207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[exceldashboard.xlsx]SCHED!PivotTable3</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SCHED!$B$3:$B$4</c:f>
              <c:strCache>
                <c:ptCount val="1"/>
                <c:pt idx="0">
                  <c:v>ENGLISH</c:v>
                </c:pt>
              </c:strCache>
            </c:strRef>
          </c:tx>
          <c:spPr>
            <a:solidFill>
              <a:schemeClr val="accent1"/>
            </a:solidFill>
            <a:ln>
              <a:noFill/>
            </a:ln>
            <a:effectLst/>
            <a:sp3d/>
          </c:spPr>
          <c:invertIfNegative val="0"/>
          <c:cat>
            <c:strRef>
              <c:f>SCHED!$A$5:$A$9</c:f>
              <c:strCache>
                <c:ptCount val="4"/>
                <c:pt idx="0">
                  <c:v>GRADE 10</c:v>
                </c:pt>
                <c:pt idx="1">
                  <c:v>GRADE 7</c:v>
                </c:pt>
                <c:pt idx="2">
                  <c:v>GRADE 8</c:v>
                </c:pt>
                <c:pt idx="3">
                  <c:v>GRADE 9</c:v>
                </c:pt>
              </c:strCache>
            </c:strRef>
          </c:cat>
          <c:val>
            <c:numRef>
              <c:f>SCHED!$B$5:$B$9</c:f>
              <c:numCache>
                <c:formatCode>General</c:formatCode>
                <c:ptCount val="4"/>
                <c:pt idx="1">
                  <c:v>1</c:v>
                </c:pt>
              </c:numCache>
            </c:numRef>
          </c:val>
          <c:extLst>
            <c:ext xmlns:c16="http://schemas.microsoft.com/office/drawing/2014/chart" uri="{C3380CC4-5D6E-409C-BE32-E72D297353CC}">
              <c16:uniqueId val="{00000000-97FA-4B7B-8579-3B2D65A601E3}"/>
            </c:ext>
          </c:extLst>
        </c:ser>
        <c:ser>
          <c:idx val="1"/>
          <c:order val="1"/>
          <c:tx>
            <c:strRef>
              <c:f>SCHED!$C$3:$C$4</c:f>
              <c:strCache>
                <c:ptCount val="1"/>
                <c:pt idx="0">
                  <c:v>FILIPINO</c:v>
                </c:pt>
              </c:strCache>
            </c:strRef>
          </c:tx>
          <c:spPr>
            <a:solidFill>
              <a:schemeClr val="accent2"/>
            </a:solidFill>
            <a:ln>
              <a:noFill/>
            </a:ln>
            <a:effectLst/>
            <a:sp3d/>
          </c:spPr>
          <c:invertIfNegative val="0"/>
          <c:cat>
            <c:strRef>
              <c:f>SCHED!$A$5:$A$9</c:f>
              <c:strCache>
                <c:ptCount val="4"/>
                <c:pt idx="0">
                  <c:v>GRADE 10</c:v>
                </c:pt>
                <c:pt idx="1">
                  <c:v>GRADE 7</c:v>
                </c:pt>
                <c:pt idx="2">
                  <c:v>GRADE 8</c:v>
                </c:pt>
                <c:pt idx="3">
                  <c:v>GRADE 9</c:v>
                </c:pt>
              </c:strCache>
            </c:strRef>
          </c:cat>
          <c:val>
            <c:numRef>
              <c:f>SCHED!$C$5:$C$9</c:f>
              <c:numCache>
                <c:formatCode>General</c:formatCode>
                <c:ptCount val="4"/>
                <c:pt idx="0">
                  <c:v>1</c:v>
                </c:pt>
              </c:numCache>
            </c:numRef>
          </c:val>
          <c:extLst>
            <c:ext xmlns:c16="http://schemas.microsoft.com/office/drawing/2014/chart" uri="{C3380CC4-5D6E-409C-BE32-E72D297353CC}">
              <c16:uniqueId val="{00000004-FBD8-40BD-8247-2A7D6944CEE2}"/>
            </c:ext>
          </c:extLst>
        </c:ser>
        <c:ser>
          <c:idx val="2"/>
          <c:order val="2"/>
          <c:tx>
            <c:strRef>
              <c:f>SCHED!$D$3:$D$4</c:f>
              <c:strCache>
                <c:ptCount val="1"/>
                <c:pt idx="0">
                  <c:v>MATHEMATICS</c:v>
                </c:pt>
              </c:strCache>
            </c:strRef>
          </c:tx>
          <c:spPr>
            <a:solidFill>
              <a:schemeClr val="accent3"/>
            </a:solidFill>
            <a:ln>
              <a:noFill/>
            </a:ln>
            <a:effectLst/>
            <a:sp3d/>
          </c:spPr>
          <c:invertIfNegative val="0"/>
          <c:cat>
            <c:strRef>
              <c:f>SCHED!$A$5:$A$9</c:f>
              <c:strCache>
                <c:ptCount val="4"/>
                <c:pt idx="0">
                  <c:v>GRADE 10</c:v>
                </c:pt>
                <c:pt idx="1">
                  <c:v>GRADE 7</c:v>
                </c:pt>
                <c:pt idx="2">
                  <c:v>GRADE 8</c:v>
                </c:pt>
                <c:pt idx="3">
                  <c:v>GRADE 9</c:v>
                </c:pt>
              </c:strCache>
            </c:strRef>
          </c:cat>
          <c:val>
            <c:numRef>
              <c:f>SCHED!$D$5:$D$9</c:f>
              <c:numCache>
                <c:formatCode>General</c:formatCode>
                <c:ptCount val="4"/>
                <c:pt idx="2">
                  <c:v>2</c:v>
                </c:pt>
              </c:numCache>
            </c:numRef>
          </c:val>
          <c:extLst>
            <c:ext xmlns:c16="http://schemas.microsoft.com/office/drawing/2014/chart" uri="{C3380CC4-5D6E-409C-BE32-E72D297353CC}">
              <c16:uniqueId val="{00000005-FBD8-40BD-8247-2A7D6944CEE2}"/>
            </c:ext>
          </c:extLst>
        </c:ser>
        <c:ser>
          <c:idx val="3"/>
          <c:order val="3"/>
          <c:tx>
            <c:strRef>
              <c:f>SCHED!$E$3:$E$4</c:f>
              <c:strCache>
                <c:ptCount val="1"/>
                <c:pt idx="0">
                  <c:v>SCIENCE</c:v>
                </c:pt>
              </c:strCache>
            </c:strRef>
          </c:tx>
          <c:spPr>
            <a:solidFill>
              <a:schemeClr val="accent4"/>
            </a:solidFill>
            <a:ln>
              <a:noFill/>
            </a:ln>
            <a:effectLst/>
            <a:sp3d/>
          </c:spPr>
          <c:invertIfNegative val="0"/>
          <c:cat>
            <c:strRef>
              <c:f>SCHED!$A$5:$A$9</c:f>
              <c:strCache>
                <c:ptCount val="4"/>
                <c:pt idx="0">
                  <c:v>GRADE 10</c:v>
                </c:pt>
                <c:pt idx="1">
                  <c:v>GRADE 7</c:v>
                </c:pt>
                <c:pt idx="2">
                  <c:v>GRADE 8</c:v>
                </c:pt>
                <c:pt idx="3">
                  <c:v>GRADE 9</c:v>
                </c:pt>
              </c:strCache>
            </c:strRef>
          </c:cat>
          <c:val>
            <c:numRef>
              <c:f>SCHED!$E$5:$E$9</c:f>
              <c:numCache>
                <c:formatCode>General</c:formatCode>
                <c:ptCount val="4"/>
                <c:pt idx="3">
                  <c:v>1</c:v>
                </c:pt>
              </c:numCache>
            </c:numRef>
          </c:val>
          <c:extLst>
            <c:ext xmlns:c16="http://schemas.microsoft.com/office/drawing/2014/chart" uri="{C3380CC4-5D6E-409C-BE32-E72D297353CC}">
              <c16:uniqueId val="{00000006-FBD8-40BD-8247-2A7D6944CEE2}"/>
            </c:ext>
          </c:extLst>
        </c:ser>
        <c:dLbls>
          <c:showLegendKey val="0"/>
          <c:showVal val="0"/>
          <c:showCatName val="0"/>
          <c:showSerName val="0"/>
          <c:showPercent val="0"/>
          <c:showBubbleSize val="0"/>
        </c:dLbls>
        <c:gapWidth val="150"/>
        <c:shape val="box"/>
        <c:axId val="545532048"/>
        <c:axId val="545532528"/>
        <c:axId val="0"/>
      </c:bar3DChart>
      <c:catAx>
        <c:axId val="54553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32528"/>
        <c:crosses val="autoZero"/>
        <c:auto val="1"/>
        <c:lblAlgn val="ctr"/>
        <c:lblOffset val="100"/>
        <c:noMultiLvlLbl val="0"/>
      </c:catAx>
      <c:valAx>
        <c:axId val="545532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3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[exceldashboard.xlsx]STUD!PivotTable4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STUD!$B$3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5AE-41CC-9968-5F06C04AA1C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5AE-41CC-9968-5F06C04AA1C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STUD!$A$4:$A$6</c:f>
              <c:strCache>
                <c:ptCount val="2"/>
                <c:pt idx="0">
                  <c:v>Female</c:v>
                </c:pt>
                <c:pt idx="1">
                  <c:v>Male</c:v>
                </c:pt>
              </c:strCache>
            </c:strRef>
          </c:cat>
          <c:val>
            <c:numRef>
              <c:f>STUD!$B$4:$B$6</c:f>
              <c:numCache>
                <c:formatCode>General</c:formatCode>
                <c:ptCount val="2"/>
                <c:pt idx="0">
                  <c:v>35</c:v>
                </c:pt>
                <c:pt idx="1">
                  <c:v>44</c:v>
                </c:pt>
              </c:numCache>
            </c:numRef>
          </c:val>
          <c:extLst>
            <c:ext xmlns:c16="http://schemas.microsoft.com/office/drawing/2014/chart" uri="{C3380CC4-5D6E-409C-BE32-E72D297353CC}">
              <c16:uniqueId val="{00000004-E5AE-41CC-9968-5F06C04AA1C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[exceldashboard.xlsx]FINAL!PivotTable7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7558685446009389E-3"/>
              <c:y val="0.395437104503017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5117370892018778E-3"/>
              <c:y val="0.18250943284754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FINAL!$B$3:$B$4</c:f>
              <c:strCache>
                <c:ptCount val="1"/>
                <c:pt idx="0">
                  <c:v>FAILED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7.5117370892018778E-3"/>
                  <c:y val="0.18250943284754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F2-4198-95EA-97F49B6EF2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FINAL!$A$5</c:f>
              <c:strCache>
                <c:ptCount val="1"/>
                <c:pt idx="0">
                  <c:v>Total</c:v>
                </c:pt>
              </c:strCache>
            </c:strRef>
          </c:cat>
          <c:val>
            <c:numRef>
              <c:f>FINAL!$B$5</c:f>
              <c:numCache>
                <c:formatCode>General</c:formatCode>
                <c:ptCount val="1"/>
                <c:pt idx="0">
                  <c:v>1</c:v>
                </c:pt>
              </c:numCache>
            </c:numRef>
          </c:val>
          <c:extLst>
            <c:ext xmlns:c16="http://schemas.microsoft.com/office/drawing/2014/chart" uri="{C3380CC4-5D6E-409C-BE32-E72D297353CC}">
              <c16:uniqueId val="{00000000-7DF2-4198-95EA-97F49B6EF2AE}"/>
            </c:ext>
          </c:extLst>
        </c:ser>
        <c:ser>
          <c:idx val="1"/>
          <c:order val="1"/>
          <c:tx>
            <c:strRef>
              <c:f>FINAL!$C$3:$C$4</c:f>
              <c:strCache>
                <c:ptCount val="1"/>
                <c:pt idx="0">
                  <c:v>PASSED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3.7558685446009389E-3"/>
                  <c:y val="0.395437104503017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F2-4198-95EA-97F49B6EF2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FINAL!$A$5</c:f>
              <c:strCache>
                <c:ptCount val="1"/>
                <c:pt idx="0">
                  <c:v>Total</c:v>
                </c:pt>
              </c:strCache>
            </c:strRef>
          </c:cat>
          <c:val>
            <c:numRef>
              <c:f>FINAL!$C$5</c:f>
              <c:numCache>
                <c:formatCode>General</c:formatCode>
                <c:ptCount val="1"/>
                <c:pt idx="0">
                  <c:v>2</c:v>
                </c:pt>
              </c:numCache>
            </c:numRef>
          </c:val>
          <c:extLst>
            <c:ext xmlns:c16="http://schemas.microsoft.com/office/drawing/2014/chart" uri="{C3380CC4-5D6E-409C-BE32-E72D297353CC}">
              <c16:uniqueId val="{00000001-7DF2-4198-95EA-97F49B6EF2AE}"/>
            </c:ext>
          </c:extLst>
        </c:ser>
        <c:dLbls>
          <c:showLegendKey val="0"/>
          <c:showVal val="1"/>
          <c:showCatName val="0"/>
          <c:showSerName val="0"/>
          <c:showPercent val="0"/>
          <c:showBubbleSize val="0"/>
        </c:dLbls>
        <c:gapWidth val="150"/>
        <c:shape val="box"/>
        <c:axId val="1906967840"/>
        <c:axId val="1906966880"/>
        <c:axId val="0"/>
      </c:bar3DChart>
      <c:catAx>
        <c:axId val="19069678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66880"/>
        <c:crosses val="autoZero"/>
        <c:auto val="1"/>
        <c:lblAlgn val="ctr"/>
        <c:lblOffset val="100"/>
        <c:noMultiLvlLbl val="0"/>
      </c:catAx>
      <c:valAx>
        <c:axId val="190696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476250</xdr:colOff>
      <xdr:row>7</xdr:row>
      <xdr:rowOff>166687</xdr:rowOff>
    </xdr:from>
    <xdr:to>
      <xdr:col>16</xdr:col>
      <xdr:colOff>171450</xdr:colOff>
      <xdr:row>22</xdr:row>
      <xdr:rowOff>52387</xdr:rowOff>
    </xdr:to>
    <xdr:graphicFrame macro="">
      <xdr:nvGraphicFramePr>
        <xdr:cNvPr id="2" name="Chart 1">
          <a:extLst>
            <a:ext uri="{FF2B5EF4-FFF2-40B4-BE49-F238E27FC236}">
              <a16:creationId xmlns:a16="http://schemas.microsoft.com/office/drawing/2014/main" id="{C8255958-0200-825F-10A9-D672FE9E5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10</xdr:row>
      <xdr:rowOff>52387</xdr:rowOff>
    </xdr:from>
    <xdr:to>
      <xdr:col>13</xdr:col>
      <xdr:colOff>276225</xdr:colOff>
      <xdr:row>24</xdr:row>
      <xdr:rowOff>128587</xdr:rowOff>
    </xdr:to>
    <xdr:graphicFrame macro="">
      <xdr:nvGraphicFramePr>
        <xdr:cNvPr id="2" name="Chart 1">
          <a:extLst>
            <a:ext uri="{FF2B5EF4-FFF2-40B4-BE49-F238E27FC236}">
              <a16:creationId xmlns:a16="http://schemas.microsoft.com/office/drawing/2014/main" id="{E3846B6A-6B28-9975-5D97-68A0FDF31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114300</xdr:colOff>
      <xdr:row>1</xdr:row>
      <xdr:rowOff>71437</xdr:rowOff>
    </xdr:from>
    <xdr:to>
      <xdr:col>12</xdr:col>
      <xdr:colOff>419100</xdr:colOff>
      <xdr:row>15</xdr:row>
      <xdr:rowOff>147637</xdr:rowOff>
    </xdr:to>
    <xdr:graphicFrame macro="">
      <xdr:nvGraphicFramePr>
        <xdr:cNvPr id="2" name="Chart 1">
          <a:extLst>
            <a:ext uri="{FF2B5EF4-FFF2-40B4-BE49-F238E27FC236}">
              <a16:creationId xmlns:a16="http://schemas.microsoft.com/office/drawing/2014/main" id="{0CB107A5-C42A-9975-725E-EBD146613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209550</xdr:colOff>
      <xdr:row>11</xdr:row>
      <xdr:rowOff>9525</xdr:rowOff>
    </xdr:from>
    <xdr:to>
      <xdr:col>12</xdr:col>
      <xdr:colOff>209550</xdr:colOff>
      <xdr:row>24</xdr:row>
      <xdr:rowOff>57150</xdr:rowOff>
    </xdr:to>
    <mc:AlternateContent xmlns:mc="http://schemas.openxmlformats.org/markup-compatibility/2006">
      <mc:Choice xmlns:a14="http://schemas.microsoft.com/office/drawing/2010/main" Requires="a14">
        <xdr:graphicFrame macro="">
          <xdr:nvGraphicFramePr>
            <xdr:cNvPr id="2" name="date">
              <a:extLst>
                <a:ext uri="{FF2B5EF4-FFF2-40B4-BE49-F238E27FC236}">
                  <a16:creationId xmlns:a16="http://schemas.microsoft.com/office/drawing/2014/main" id="{F56A7FEF-922A-5C2E-C372-6E9EB886DA4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6267450" y="2105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561975</xdr:colOff>
      <xdr:row>13</xdr:row>
      <xdr:rowOff>76199</xdr:rowOff>
    </xdr:from>
    <xdr:to>
      <xdr:col>12</xdr:col>
      <xdr:colOff>314325</xdr:colOff>
      <xdr:row>26</xdr:row>
      <xdr:rowOff>76200</xdr:rowOff>
    </xdr:to>
    <xdr:graphicFrame macro="">
      <xdr:nvGraphicFramePr>
        <xdr:cNvPr id="2" name="Chart 1">
          <a:extLst>
            <a:ext uri="{FF2B5EF4-FFF2-40B4-BE49-F238E27FC236}">
              <a16:creationId xmlns:a16="http://schemas.microsoft.com/office/drawing/2014/main" id="{BDCFF542-5B20-41D1-A831-9450B8296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485775</xdr:colOff>
      <xdr:row>13</xdr:row>
      <xdr:rowOff>85725</xdr:rowOff>
    </xdr:from>
    <xdr:to>
      <xdr:col>18</xdr:col>
      <xdr:colOff>485775</xdr:colOff>
      <xdr:row>26</xdr:row>
      <xdr:rowOff>85725</xdr:rowOff>
    </xdr:to>
    <xdr:graphicFrame macro="">
      <xdr:nvGraphicFramePr>
        <xdr:cNvPr id="3" name="Chart 2">
          <a:extLst>
            <a:ext uri="{FF2B5EF4-FFF2-40B4-BE49-F238E27FC236}">
              <a16:creationId xmlns:a16="http://schemas.microsoft.com/office/drawing/2014/main" id="{9B972CC0-D003-4BC9-B2FC-C7D7CCB48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133350</xdr:colOff>
      <xdr:row>13</xdr:row>
      <xdr:rowOff>76199</xdr:rowOff>
    </xdr:from>
    <xdr:to>
      <xdr:col>25</xdr:col>
      <xdr:colOff>76200</xdr:colOff>
      <xdr:row>26</xdr:row>
      <xdr:rowOff>104775</xdr:rowOff>
    </xdr:to>
    <xdr:graphicFrame macro="">
      <xdr:nvGraphicFramePr>
        <xdr:cNvPr id="4" name="Chart 3">
          <a:extLst>
            <a:ext uri="{FF2B5EF4-FFF2-40B4-BE49-F238E27FC236}">
              <a16:creationId xmlns:a16="http://schemas.microsoft.com/office/drawing/2014/main" id="{97787797-6A81-4056-92F4-662F5C421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247650</xdr:colOff>
      <xdr:row>2</xdr:row>
      <xdr:rowOff>180975</xdr:rowOff>
    </xdr:from>
    <xdr:to>
      <xdr:col>21</xdr:col>
      <xdr:colOff>114300</xdr:colOff>
      <xdr:row>4</xdr:row>
      <xdr:rowOff>180975</xdr:rowOff>
    </xdr:to>
    <xdr:sp macro="" textlink="">
      <xdr:nvSpPr>
        <xdr:cNvPr id="5" name="TextBox 4">
          <a:extLst>
            <a:ext uri="{FF2B5EF4-FFF2-40B4-BE49-F238E27FC236}">
              <a16:creationId xmlns:a16="http://schemas.microsoft.com/office/drawing/2014/main" id="{8918DF59-33D9-1215-5921-AB02F69B57F6}"/>
            </a:ext>
          </a:extLst>
        </xdr:cNvPr>
        <xdr:cNvSpPr txBox="1"/>
      </xdr:nvSpPr>
      <xdr:spPr>
        <a:xfrm>
          <a:off x="10058400" y="904875"/>
          <a:ext cx="169545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TOTAL</a:t>
          </a:r>
          <a:r>
            <a:rPr lang="en-US" sz="1600" baseline="0"/>
            <a:t> STUDENTS</a:t>
          </a:r>
          <a:endParaRPr lang="en-US" sz="1600"/>
        </a:p>
      </xdr:txBody>
    </xdr:sp>
    <xdr:clientData/>
  </xdr:twoCellAnchor>
  <xdr:twoCellAnchor editAs="oneCell">
    <xdr:from>
      <xdr:col>1</xdr:col>
      <xdr:colOff>66675</xdr:colOff>
      <xdr:row>3</xdr:row>
      <xdr:rowOff>123825</xdr:rowOff>
    </xdr:from>
    <xdr:to>
      <xdr:col>3</xdr:col>
      <xdr:colOff>676275</xdr:colOff>
      <xdr:row>14</xdr:row>
      <xdr:rowOff>76200</xdr:rowOff>
    </xdr:to>
    <mc:AlternateContent xmlns:mc="http://schemas.openxmlformats.org/markup-compatibility/2006">
      <mc:Choice xmlns:a14="http://schemas.microsoft.com/office/drawing/2010/main" Requires="a14">
        <xdr:graphicFrame macro="">
          <xdr:nvGraphicFramePr>
            <xdr:cNvPr id="6" name="grade_level">
              <a:extLst>
                <a:ext uri="{FF2B5EF4-FFF2-40B4-BE49-F238E27FC236}">
                  <a16:creationId xmlns:a16="http://schemas.microsoft.com/office/drawing/2014/main" id="{585C6FCE-505A-A333-67F7-63BFBC58316A}"/>
                </a:ext>
              </a:extLst>
            </xdr:cNvPr>
            <xdr:cNvGraphicFramePr/>
          </xdr:nvGraphicFramePr>
          <xdr:xfrm>
            <a:off x="0" y="0"/>
            <a:ext cx="0" cy="0"/>
          </xdr:xfrm>
          <a:graphic>
            <a:graphicData uri="http://schemas.microsoft.com/office/drawing/2010/slicer">
              <sle:slicer xmlns:sle="http://schemas.microsoft.com/office/drawing/2010/slicer" name="grade_level"/>
            </a:graphicData>
          </a:graphic>
        </xdr:graphicFrame>
      </mc:Choice>
      <mc:Fallback>
        <xdr:sp macro="" textlink="">
          <xdr:nvSpPr>
            <xdr:cNvPr id="0" name=""/>
            <xdr:cNvSpPr>
              <a:spLocks noTextEdit="1"/>
            </xdr:cNvSpPr>
          </xdr:nvSpPr>
          <xdr:spPr>
            <a:xfrm>
              <a:off x="676275" y="1428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15</xdr:row>
      <xdr:rowOff>0</xdr:rowOff>
    </xdr:from>
    <xdr:to>
      <xdr:col>3</xdr:col>
      <xdr:colOff>685800</xdr:colOff>
      <xdr:row>28</xdr:row>
      <xdr:rowOff>47625</xdr:rowOff>
    </xdr:to>
    <mc:AlternateContent xmlns:mc="http://schemas.openxmlformats.org/markup-compatibility/2006">
      <mc:Choice xmlns:a14="http://schemas.microsoft.com/office/drawing/2010/main" Requires="a14">
        <xdr:graphicFrame macro="">
          <xdr:nvGraphicFramePr>
            <xdr:cNvPr id="7" name="subject">
              <a:extLst>
                <a:ext uri="{FF2B5EF4-FFF2-40B4-BE49-F238E27FC236}">
                  <a16:creationId xmlns:a16="http://schemas.microsoft.com/office/drawing/2014/main" id="{010D00BF-AD36-9CD1-E9FE-0E7A4F6C6382}"/>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685800" y="4067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847725</xdr:colOff>
      <xdr:row>3</xdr:row>
      <xdr:rowOff>133350</xdr:rowOff>
    </xdr:from>
    <xdr:to>
      <xdr:col>4</xdr:col>
      <xdr:colOff>219075</xdr:colOff>
      <xdr:row>14</xdr:row>
      <xdr:rowOff>85725</xdr:rowOff>
    </xdr:to>
    <mc:AlternateContent xmlns:mc="http://schemas.openxmlformats.org/markup-compatibility/2006">
      <mc:Choice xmlns:a14="http://schemas.microsoft.com/office/drawing/2010/main" Requires="a14">
        <xdr:graphicFrame macro="">
          <xdr:nvGraphicFramePr>
            <xdr:cNvPr id="8" name="date 1">
              <a:extLst>
                <a:ext uri="{FF2B5EF4-FFF2-40B4-BE49-F238E27FC236}">
                  <a16:creationId xmlns:a16="http://schemas.microsoft.com/office/drawing/2014/main" id="{B264EE19-6509-4B74-BC8C-FFC4F936FE99}"/>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2676525" y="1438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71.388633912036" createdVersion="8" refreshedVersion="8" minRefreshableVersion="3" recordCount="51" xr:uid="{4781948F-1CB3-4448-BE03-9D5748064095}">
  <cacheSource type="worksheet">
    <worksheetSource name="attendance"/>
  </cacheSource>
  <cacheFields count="8">
    <cacheField name="id" numFmtId="0">
      <sharedItems containsSemiMixedTypes="0" containsString="0" containsNumber="1" containsInteger="1" minValue="1" maxValue="71"/>
    </cacheField>
    <cacheField name="student_id" numFmtId="0">
      <sharedItems containsSemiMixedTypes="0" containsString="0" containsNumber="1" containsInteger="1" minValue="1" maxValue="79"/>
    </cacheField>
    <cacheField name="date" numFmtId="14">
      <sharedItems containsSemiMixedTypes="0" containsNonDate="0" containsDate="1" containsString="0" minDate="2026-02-15T00:00:00" maxDate="2026-02-19T00:00:00" count="3">
        <d v="2026-02-15T00:00:00"/>
        <d v="2026-02-16T00:00:00"/>
        <d v="2026-02-18T00:00:00"/>
      </sharedItems>
    </cacheField>
    <cacheField name="status" numFmtId="0">
      <sharedItems count="3">
        <s v="present"/>
        <s v="absent"/>
        <s v="late"/>
      </sharedItems>
    </cacheField>
    <cacheField name="remarks" numFmtId="0">
      <sharedItems/>
    </cacheField>
    <cacheField name="grade_level" numFmtId="0">
      <sharedItems count="3">
        <s v="GRADE 10"/>
        <s v="GRADE 7"/>
        <s v="GRADE 8"/>
      </sharedItems>
    </cacheField>
    <cacheField name="section" numFmtId="0">
      <sharedItems count="3">
        <s v="RIZAL"/>
        <s v="PASCAL"/>
        <s v="MARS"/>
      </sharedItems>
    </cacheField>
    <cacheField name="created_at" numFmtId="22">
      <sharedItems containsSemiMixedTypes="0" containsNonDate="0" containsDate="1" containsString="0" minDate="2026-02-15T11:25:08" maxDate="2026-02-18T08:56:52" count="7">
        <d v="2026-02-15T11:25:08"/>
        <d v="2026-02-15T11:30:57"/>
        <d v="2026-02-16T14:21:41"/>
        <d v="2026-02-16T21:25:56"/>
        <d v="2026-02-18T08:44:27"/>
        <d v="2026-02-18T08:44:28"/>
        <d v="2026-02-18T08:56:52"/>
      </sharedItems>
    </cacheField>
  </cacheFields>
  <extLst>
    <ext xmlns:x14="http://schemas.microsoft.com/office/spreadsheetml/2009/9/main" uri="{725AE2AE-9491-48be-B2B4-4EB974FC3084}">
      <x14:pivotCacheDefinition pivotCacheId="3817617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71.395341898147" createdVersion="8" refreshedVersion="8" minRefreshableVersion="3" recordCount="5" xr:uid="{1A2AB425-8159-4063-87CE-1055CB066626}">
  <cacheSource type="worksheet">
    <worksheetSource name="schedules"/>
  </cacheSource>
  <cacheFields count="9">
    <cacheField name="id" numFmtId="0">
      <sharedItems containsSemiMixedTypes="0" containsString="0" containsNumber="1" containsInteger="1" minValue="1" maxValue="5"/>
    </cacheField>
    <cacheField name="class_id" numFmtId="0">
      <sharedItems containsSemiMixedTypes="0" containsString="0" containsNumber="1" containsInteger="1" minValue="1" maxValue="5"/>
    </cacheField>
    <cacheField name="grade_level" numFmtId="0">
      <sharedItems count="4">
        <s v="GRADE 10"/>
        <s v="GRADE 7"/>
        <s v="GRADE 8"/>
        <s v="GRADE 9"/>
      </sharedItems>
    </cacheField>
    <cacheField name="subject" numFmtId="0">
      <sharedItems count="4">
        <s v="FILIPINO"/>
        <s v="ENGLISH"/>
        <s v="MATHEMATICS"/>
        <s v="SCIENCE"/>
      </sharedItems>
    </cacheField>
    <cacheField name="day_of_week" numFmtId="0">
      <sharedItems/>
    </cacheField>
    <cacheField name="start_time" numFmtId="164">
      <sharedItems containsSemiMixedTypes="0" containsNonDate="0" containsDate="1" containsString="0" minDate="1899-12-30T07:30:00" maxDate="1899-12-30T14:30:00"/>
    </cacheField>
    <cacheField name="end_time" numFmtId="164">
      <sharedItems containsSemiMixedTypes="0" containsNonDate="0" containsDate="1" containsString="0" minDate="1899-12-30T09:00:00" maxDate="1899-12-30T16:00:00"/>
    </cacheField>
    <cacheField name="room" numFmtId="0">
      <sharedItems/>
    </cacheField>
    <cacheField name="created_at" numFmtId="22">
      <sharedItems containsSemiMixedTypes="0" containsNonDate="0" containsDate="1" containsString="0" minDate="2026-02-15T11:20:28" maxDate="2026-02-15T11:48:21"/>
    </cacheField>
  </cacheFields>
  <extLst>
    <ext xmlns:x14="http://schemas.microsoft.com/office/spreadsheetml/2009/9/main" uri="{725AE2AE-9491-48be-B2B4-4EB974FC3084}">
      <x14:pivotCacheDefinition pivotCacheId="5004115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71.396894791666" createdVersion="8" refreshedVersion="8" minRefreshableVersion="3" recordCount="79" xr:uid="{D7AAF0BB-CE72-47BB-9626-797E1E611AA9}">
  <cacheSource type="worksheet">
    <worksheetSource name="class_students"/>
  </cacheSource>
  <cacheFields count="10">
    <cacheField name="id" numFmtId="0">
      <sharedItems containsSemiMixedTypes="0" containsString="0" containsNumber="1" containsInteger="1" minValue="1" maxValue="79"/>
    </cacheField>
    <cacheField name="class_id" numFmtId="0">
      <sharedItems containsSemiMixedTypes="0" containsString="0" containsNumber="1" containsInteger="1" minValue="1" maxValue="5"/>
    </cacheField>
    <cacheField name="first_name" numFmtId="0">
      <sharedItems/>
    </cacheField>
    <cacheField name="last_name" numFmtId="0">
      <sharedItems/>
    </cacheField>
    <cacheField name="middle_name" numFmtId="0">
      <sharedItems containsBlank="1"/>
    </cacheField>
    <cacheField name="gender" numFmtId="0">
      <sharedItems count="2">
        <s v="Male"/>
        <s v="Female"/>
      </sharedItems>
    </cacheField>
    <cacheField name="student_id" numFmtId="0">
      <sharedItems/>
    </cacheField>
    <cacheField name="grade_level" numFmtId="0">
      <sharedItems/>
    </cacheField>
    <cacheField name="section" numFmtId="0">
      <sharedItems/>
    </cacheField>
    <cacheField name="created_at" numFmtId="22">
      <sharedItems containsSemiMixedTypes="0" containsNonDate="0" containsDate="1" containsString="0" minDate="2026-02-15T11:21:25" maxDate="2026-02-18T08:55:5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71.40179502315" createdVersion="8" refreshedVersion="8" minRefreshableVersion="3" recordCount="3" xr:uid="{46508337-53AF-43A8-A0D1-2316DD183129}">
  <cacheSource type="worksheet">
    <worksheetSource name="final_grades"/>
  </cacheSource>
  <cacheFields count="10">
    <cacheField name="id" numFmtId="0">
      <sharedItems containsSemiMixedTypes="0" containsString="0" containsNumber="1" containsInteger="1" minValue="1" maxValue="3"/>
    </cacheField>
    <cacheField name="student_id" numFmtId="0">
      <sharedItems containsSemiMixedTypes="0" containsString="0" containsNumber="1" containsInteger="1" minValue="53" maxValue="79" count="3">
        <n v="53"/>
        <n v="63"/>
        <n v="79"/>
      </sharedItems>
    </cacheField>
    <cacheField name="q1_grade" numFmtId="0">
      <sharedItems containsSemiMixedTypes="0" containsString="0" containsNumber="1" minValue="49.56" maxValue="88.69" count="3">
        <n v="84.37"/>
        <n v="49.56"/>
        <n v="88.69"/>
      </sharedItems>
    </cacheField>
    <cacheField name="q2_grade" numFmtId="0">
      <sharedItems containsSemiMixedTypes="0" containsString="0" containsNumber="1" minValue="59" maxValue="92" count="3">
        <n v="92"/>
        <n v="59"/>
        <n v="85.2"/>
      </sharedItems>
    </cacheField>
    <cacheField name="q3_grade" numFmtId="0">
      <sharedItems containsSemiMixedTypes="0" containsString="0" containsNumber="1" minValue="55.5" maxValue="95.4"/>
    </cacheField>
    <cacheField name="q4_grade" numFmtId="0">
      <sharedItems containsSemiMixedTypes="0" containsString="0" containsNumber="1" minValue="67.5" maxValue="97.7"/>
    </cacheField>
    <cacheField name="raw_final_grade" numFmtId="0">
      <sharedItems containsSemiMixedTypes="0" containsString="0" containsNumber="1" minValue="57.89" maxValue="92.37"/>
    </cacheField>
    <cacheField name="rounded_final_grade" numFmtId="0">
      <sharedItems containsSemiMixedTypes="0" containsString="0" containsNumber="1" containsInteger="1" minValue="58" maxValue="92" count="3">
        <n v="92"/>
        <n v="58"/>
        <n v="90"/>
      </sharedItems>
    </cacheField>
    <cacheField name="remarks" numFmtId="0">
      <sharedItems count="2">
        <s v="PASSED"/>
        <s v="FAILED"/>
      </sharedItems>
    </cacheField>
    <cacheField name="finalized_at" numFmtId="22">
      <sharedItems containsSemiMixedTypes="0" containsNonDate="0" containsDate="1" containsString="0" minDate="2026-02-16T14:31:06" maxDate="2026-02-18T09:03: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n v="1"/>
    <x v="0"/>
    <x v="0"/>
    <s v=""/>
    <x v="0"/>
    <x v="0"/>
    <x v="0"/>
  </r>
  <r>
    <n v="4"/>
    <n v="2"/>
    <x v="0"/>
    <x v="1"/>
    <s v=""/>
    <x v="0"/>
    <x v="0"/>
    <x v="1"/>
  </r>
  <r>
    <n v="6"/>
    <n v="53"/>
    <x v="1"/>
    <x v="1"/>
    <s v=""/>
    <x v="0"/>
    <x v="0"/>
    <x v="2"/>
  </r>
  <r>
    <n v="7"/>
    <n v="63"/>
    <x v="1"/>
    <x v="1"/>
    <s v=""/>
    <x v="0"/>
    <x v="0"/>
    <x v="2"/>
  </r>
  <r>
    <n v="8"/>
    <n v="28"/>
    <x v="1"/>
    <x v="1"/>
    <s v=""/>
    <x v="0"/>
    <x v="0"/>
    <x v="2"/>
  </r>
  <r>
    <n v="9"/>
    <n v="48"/>
    <x v="1"/>
    <x v="0"/>
    <s v=""/>
    <x v="0"/>
    <x v="0"/>
    <x v="2"/>
  </r>
  <r>
    <n v="10"/>
    <n v="2"/>
    <x v="1"/>
    <x v="0"/>
    <s v=""/>
    <x v="0"/>
    <x v="0"/>
    <x v="2"/>
  </r>
  <r>
    <n v="11"/>
    <n v="73"/>
    <x v="1"/>
    <x v="0"/>
    <s v=""/>
    <x v="0"/>
    <x v="0"/>
    <x v="2"/>
  </r>
  <r>
    <n v="12"/>
    <n v="43"/>
    <x v="1"/>
    <x v="0"/>
    <s v=""/>
    <x v="0"/>
    <x v="0"/>
    <x v="2"/>
  </r>
  <r>
    <n v="13"/>
    <n v="58"/>
    <x v="1"/>
    <x v="0"/>
    <s v=""/>
    <x v="0"/>
    <x v="0"/>
    <x v="2"/>
  </r>
  <r>
    <n v="14"/>
    <n v="3"/>
    <x v="1"/>
    <x v="0"/>
    <s v=""/>
    <x v="0"/>
    <x v="0"/>
    <x v="2"/>
  </r>
  <r>
    <n v="15"/>
    <n v="23"/>
    <x v="1"/>
    <x v="0"/>
    <s v=""/>
    <x v="0"/>
    <x v="0"/>
    <x v="2"/>
  </r>
  <r>
    <n v="16"/>
    <n v="18"/>
    <x v="1"/>
    <x v="0"/>
    <s v=""/>
    <x v="0"/>
    <x v="0"/>
    <x v="2"/>
  </r>
  <r>
    <n v="17"/>
    <n v="1"/>
    <x v="1"/>
    <x v="0"/>
    <s v=""/>
    <x v="0"/>
    <x v="0"/>
    <x v="2"/>
  </r>
  <r>
    <n v="18"/>
    <n v="33"/>
    <x v="1"/>
    <x v="0"/>
    <s v=""/>
    <x v="0"/>
    <x v="0"/>
    <x v="2"/>
  </r>
  <r>
    <n v="19"/>
    <n v="8"/>
    <x v="1"/>
    <x v="0"/>
    <s v=""/>
    <x v="0"/>
    <x v="0"/>
    <x v="2"/>
  </r>
  <r>
    <n v="20"/>
    <n v="38"/>
    <x v="1"/>
    <x v="0"/>
    <s v=""/>
    <x v="0"/>
    <x v="0"/>
    <x v="2"/>
  </r>
  <r>
    <n v="21"/>
    <n v="68"/>
    <x v="1"/>
    <x v="0"/>
    <s v=""/>
    <x v="0"/>
    <x v="0"/>
    <x v="2"/>
  </r>
  <r>
    <n v="22"/>
    <n v="13"/>
    <x v="1"/>
    <x v="0"/>
    <s v=""/>
    <x v="0"/>
    <x v="0"/>
    <x v="2"/>
  </r>
  <r>
    <n v="26"/>
    <n v="78"/>
    <x v="1"/>
    <x v="0"/>
    <s v=""/>
    <x v="0"/>
    <x v="0"/>
    <x v="3"/>
  </r>
  <r>
    <n v="41"/>
    <n v="42"/>
    <x v="2"/>
    <x v="1"/>
    <s v=""/>
    <x v="1"/>
    <x v="1"/>
    <x v="4"/>
  </r>
  <r>
    <n v="42"/>
    <n v="12"/>
    <x v="2"/>
    <x v="0"/>
    <s v=""/>
    <x v="1"/>
    <x v="1"/>
    <x v="4"/>
  </r>
  <r>
    <n v="43"/>
    <n v="52"/>
    <x v="2"/>
    <x v="2"/>
    <s v=""/>
    <x v="1"/>
    <x v="1"/>
    <x v="4"/>
  </r>
  <r>
    <n v="44"/>
    <n v="32"/>
    <x v="2"/>
    <x v="0"/>
    <s v=""/>
    <x v="1"/>
    <x v="1"/>
    <x v="4"/>
  </r>
  <r>
    <n v="45"/>
    <n v="62"/>
    <x v="2"/>
    <x v="0"/>
    <s v=""/>
    <x v="1"/>
    <x v="1"/>
    <x v="4"/>
  </r>
  <r>
    <n v="46"/>
    <n v="27"/>
    <x v="2"/>
    <x v="0"/>
    <s v=""/>
    <x v="1"/>
    <x v="1"/>
    <x v="4"/>
  </r>
  <r>
    <n v="47"/>
    <n v="22"/>
    <x v="2"/>
    <x v="0"/>
    <s v=""/>
    <x v="1"/>
    <x v="1"/>
    <x v="4"/>
  </r>
  <r>
    <n v="48"/>
    <n v="47"/>
    <x v="2"/>
    <x v="0"/>
    <s v=""/>
    <x v="1"/>
    <x v="1"/>
    <x v="4"/>
  </r>
  <r>
    <n v="49"/>
    <n v="57"/>
    <x v="2"/>
    <x v="0"/>
    <s v=""/>
    <x v="1"/>
    <x v="1"/>
    <x v="4"/>
  </r>
  <r>
    <n v="50"/>
    <n v="77"/>
    <x v="2"/>
    <x v="0"/>
    <s v=""/>
    <x v="1"/>
    <x v="1"/>
    <x v="4"/>
  </r>
  <r>
    <n v="51"/>
    <n v="67"/>
    <x v="2"/>
    <x v="0"/>
    <s v=""/>
    <x v="1"/>
    <x v="1"/>
    <x v="5"/>
  </r>
  <r>
    <n v="52"/>
    <n v="17"/>
    <x v="2"/>
    <x v="0"/>
    <s v=""/>
    <x v="1"/>
    <x v="1"/>
    <x v="5"/>
  </r>
  <r>
    <n v="53"/>
    <n v="7"/>
    <x v="2"/>
    <x v="0"/>
    <s v=""/>
    <x v="1"/>
    <x v="1"/>
    <x v="5"/>
  </r>
  <r>
    <n v="54"/>
    <n v="37"/>
    <x v="2"/>
    <x v="0"/>
    <s v=""/>
    <x v="1"/>
    <x v="1"/>
    <x v="5"/>
  </r>
  <r>
    <n v="55"/>
    <n v="72"/>
    <x v="2"/>
    <x v="0"/>
    <s v=""/>
    <x v="1"/>
    <x v="1"/>
    <x v="5"/>
  </r>
  <r>
    <n v="56"/>
    <n v="26"/>
    <x v="2"/>
    <x v="0"/>
    <s v=""/>
    <x v="2"/>
    <x v="2"/>
    <x v="6"/>
  </r>
  <r>
    <n v="57"/>
    <n v="56"/>
    <x v="2"/>
    <x v="0"/>
    <s v=""/>
    <x v="2"/>
    <x v="2"/>
    <x v="6"/>
  </r>
  <r>
    <n v="58"/>
    <n v="46"/>
    <x v="2"/>
    <x v="0"/>
    <s v=""/>
    <x v="2"/>
    <x v="2"/>
    <x v="6"/>
  </r>
  <r>
    <n v="59"/>
    <n v="31"/>
    <x v="2"/>
    <x v="0"/>
    <s v=""/>
    <x v="2"/>
    <x v="2"/>
    <x v="6"/>
  </r>
  <r>
    <n v="60"/>
    <n v="79"/>
    <x v="2"/>
    <x v="0"/>
    <s v=""/>
    <x v="2"/>
    <x v="2"/>
    <x v="6"/>
  </r>
  <r>
    <n v="61"/>
    <n v="36"/>
    <x v="2"/>
    <x v="0"/>
    <s v=""/>
    <x v="2"/>
    <x v="2"/>
    <x v="6"/>
  </r>
  <r>
    <n v="62"/>
    <n v="21"/>
    <x v="2"/>
    <x v="0"/>
    <s v=""/>
    <x v="2"/>
    <x v="2"/>
    <x v="6"/>
  </r>
  <r>
    <n v="63"/>
    <n v="41"/>
    <x v="2"/>
    <x v="0"/>
    <s v=""/>
    <x v="2"/>
    <x v="2"/>
    <x v="6"/>
  </r>
  <r>
    <n v="64"/>
    <n v="71"/>
    <x v="2"/>
    <x v="0"/>
    <s v=""/>
    <x v="2"/>
    <x v="2"/>
    <x v="6"/>
  </r>
  <r>
    <n v="65"/>
    <n v="6"/>
    <x v="2"/>
    <x v="0"/>
    <s v=""/>
    <x v="2"/>
    <x v="2"/>
    <x v="6"/>
  </r>
  <r>
    <n v="66"/>
    <n v="61"/>
    <x v="2"/>
    <x v="0"/>
    <s v=""/>
    <x v="2"/>
    <x v="2"/>
    <x v="6"/>
  </r>
  <r>
    <n v="67"/>
    <n v="76"/>
    <x v="2"/>
    <x v="0"/>
    <s v=""/>
    <x v="2"/>
    <x v="2"/>
    <x v="6"/>
  </r>
  <r>
    <n v="68"/>
    <n v="51"/>
    <x v="2"/>
    <x v="0"/>
    <s v=""/>
    <x v="2"/>
    <x v="2"/>
    <x v="6"/>
  </r>
  <r>
    <n v="69"/>
    <n v="16"/>
    <x v="2"/>
    <x v="0"/>
    <s v=""/>
    <x v="2"/>
    <x v="2"/>
    <x v="6"/>
  </r>
  <r>
    <n v="70"/>
    <n v="66"/>
    <x v="2"/>
    <x v="0"/>
    <s v=""/>
    <x v="2"/>
    <x v="2"/>
    <x v="6"/>
  </r>
  <r>
    <n v="71"/>
    <n v="11"/>
    <x v="2"/>
    <x v="1"/>
    <s v=""/>
    <x v="2"/>
    <x v="2"/>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n v="1"/>
    <x v="0"/>
    <x v="0"/>
    <s v="Monday"/>
    <d v="1899-12-30T07:30:00"/>
    <d v="1899-12-30T09:00:00"/>
    <s v="ROOM 105"/>
    <d v="2026-02-15T11:20:28"/>
  </r>
  <r>
    <n v="2"/>
    <n v="5"/>
    <x v="1"/>
    <x v="1"/>
    <s v="Tuesday"/>
    <d v="1899-12-30T13:00:00"/>
    <d v="1899-12-30T15:00:00"/>
    <s v="ROOM 101"/>
    <d v="2026-02-15T11:46:05"/>
  </r>
  <r>
    <n v="3"/>
    <n v="4"/>
    <x v="2"/>
    <x v="2"/>
    <s v="Wednesday"/>
    <d v="1899-12-30T09:00:00"/>
    <d v="1899-12-30T11:59:00"/>
    <s v="ROOM 102"/>
    <d v="2026-02-15T11:47:00"/>
  </r>
  <r>
    <n v="4"/>
    <n v="3"/>
    <x v="2"/>
    <x v="2"/>
    <s v="Thursday"/>
    <d v="1899-12-30T14:30:00"/>
    <d v="1899-12-30T16:00:00"/>
    <s v="ROOM 103"/>
    <d v="2026-02-15T11:47:42"/>
  </r>
  <r>
    <n v="5"/>
    <n v="2"/>
    <x v="3"/>
    <x v="3"/>
    <s v="Friday"/>
    <d v="1899-12-30T07:30:00"/>
    <d v="1899-12-30T10:30:00"/>
    <s v="ROOM 104"/>
    <d v="2026-02-15T11:48: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n v="1"/>
    <n v="1"/>
    <s v="VICTOR"/>
    <s v="ODARVE"/>
    <s v="E"/>
    <x v="0"/>
    <s v="02-2324-13335"/>
    <s v="GRADE 10"/>
    <s v="RIZAL"/>
    <d v="2026-02-15T11:21:25"/>
  </r>
  <r>
    <n v="2"/>
    <n v="1"/>
    <s v="GABRIEL"/>
    <s v="MADRIDANO"/>
    <s v="M"/>
    <x v="0"/>
    <s v="02-2324-11111"/>
    <s v="GRADE 10"/>
    <s v="RIZAL"/>
    <d v="2026-02-15T11:30:47"/>
  </r>
  <r>
    <n v="3"/>
    <n v="1"/>
    <s v="Mason"/>
    <s v="Morales"/>
    <m/>
    <x v="0"/>
    <s v="FIL-005-01-01"/>
    <s v="GRADE 10"/>
    <s v="RIZAL"/>
    <d v="2026-02-15T11:55:56"/>
  </r>
  <r>
    <n v="4"/>
    <n v="2"/>
    <s v="Olivia"/>
    <s v="Fernandez"/>
    <m/>
    <x v="0"/>
    <s v="SCI-101-02-01"/>
    <s v="GRADE 9"/>
    <s v="HONESTY"/>
    <d v="2026-02-15T11:55:56"/>
  </r>
  <r>
    <n v="5"/>
    <n v="3"/>
    <s v="Amelia"/>
    <s v="Cruz"/>
    <m/>
    <x v="0"/>
    <s v="MATH-102-03-01"/>
    <s v="GRADE 8"/>
    <s v="SATURN"/>
    <d v="2026-02-15T11:55:56"/>
  </r>
  <r>
    <n v="6"/>
    <n v="4"/>
    <s v="James"/>
    <s v="Mendoza"/>
    <m/>
    <x v="0"/>
    <s v="MATH-102-04-01"/>
    <s v="GRADE 8"/>
    <s v="MARS"/>
    <d v="2026-02-15T11:55:56"/>
  </r>
  <r>
    <n v="7"/>
    <n v="5"/>
    <s v="Noah"/>
    <s v="Ramos"/>
    <m/>
    <x v="0"/>
    <s v="ENG-103-05-01"/>
    <s v="GRADE 7"/>
    <s v="PASCAL"/>
    <d v="2026-02-15T11:55:56"/>
  </r>
  <r>
    <n v="8"/>
    <n v="1"/>
    <s v="Sophia"/>
    <s v="Ramos"/>
    <m/>
    <x v="1"/>
    <s v="FIL-005-01-02"/>
    <s v="GRADE 10"/>
    <s v="RIZAL"/>
    <d v="2026-02-15T11:55:56"/>
  </r>
  <r>
    <n v="9"/>
    <n v="2"/>
    <s v="Lucas"/>
    <s v="Garcia"/>
    <m/>
    <x v="1"/>
    <s v="SCI-101-02-02"/>
    <s v="GRADE 9"/>
    <s v="HONESTY"/>
    <d v="2026-02-15T11:55:56"/>
  </r>
  <r>
    <n v="10"/>
    <n v="3"/>
    <s v="Elijah"/>
    <s v="Rivera"/>
    <m/>
    <x v="1"/>
    <s v="MATH-102-03-02"/>
    <s v="GRADE 8"/>
    <s v="SATURN"/>
    <d v="2026-02-15T11:55:56"/>
  </r>
  <r>
    <n v="11"/>
    <n v="4"/>
    <s v="Benjamin"/>
    <s v="Torres"/>
    <m/>
    <x v="1"/>
    <s v="MATH-102-04-02"/>
    <s v="GRADE 8"/>
    <s v="MARS"/>
    <d v="2026-02-15T11:55:56"/>
  </r>
  <r>
    <n v="12"/>
    <n v="5"/>
    <s v="Elijah"/>
    <s v="Bautista"/>
    <m/>
    <x v="1"/>
    <s v="ENG-103-05-02"/>
    <s v="GRADE 7"/>
    <s v="PASCAL"/>
    <d v="2026-02-15T11:55:56"/>
  </r>
  <r>
    <n v="13"/>
    <n v="1"/>
    <s v="Isabella"/>
    <s v="Villanueva"/>
    <m/>
    <x v="0"/>
    <s v="FIL-005-01-03"/>
    <s v="GRADE 10"/>
    <s v="RIZAL"/>
    <d v="2026-02-15T11:55:56"/>
  </r>
  <r>
    <n v="14"/>
    <n v="2"/>
    <s v="Sophia"/>
    <s v="Flores"/>
    <m/>
    <x v="0"/>
    <s v="SCI-101-02-03"/>
    <s v="GRADE 9"/>
    <s v="HONESTY"/>
    <d v="2026-02-15T11:55:56"/>
  </r>
  <r>
    <n v="15"/>
    <n v="3"/>
    <s v="Noah"/>
    <s v="Santos"/>
    <m/>
    <x v="0"/>
    <s v="MATH-102-03-03"/>
    <s v="GRADE 8"/>
    <s v="SATURN"/>
    <d v="2026-02-15T11:55:56"/>
  </r>
  <r>
    <n v="16"/>
    <n v="4"/>
    <s v="Isabella"/>
    <s v="Salazar"/>
    <m/>
    <x v="0"/>
    <s v="MATH-102-04-03"/>
    <s v="GRADE 8"/>
    <s v="MARS"/>
    <d v="2026-02-15T11:55:56"/>
  </r>
  <r>
    <n v="17"/>
    <n v="5"/>
    <s v="Charlotte"/>
    <s v="Mendoza"/>
    <m/>
    <x v="0"/>
    <s v="ENG-103-05-03"/>
    <s v="GRADE 7"/>
    <s v="PASCAL"/>
    <d v="2026-02-15T11:55:56"/>
  </r>
  <r>
    <n v="18"/>
    <n v="1"/>
    <s v="Ethan"/>
    <s v="Navarro"/>
    <m/>
    <x v="1"/>
    <s v="FIL-005-01-04"/>
    <s v="GRADE 10"/>
    <s v="RIZAL"/>
    <d v="2026-02-15T11:55:56"/>
  </r>
  <r>
    <n v="19"/>
    <n v="2"/>
    <s v="Emma"/>
    <s v="Villanueva"/>
    <m/>
    <x v="1"/>
    <s v="SCI-101-02-04"/>
    <s v="GRADE 9"/>
    <s v="HONESTY"/>
    <d v="2026-02-15T11:55:56"/>
  </r>
  <r>
    <n v="20"/>
    <n v="3"/>
    <s v="Henry"/>
    <s v="Garcia"/>
    <m/>
    <x v="1"/>
    <s v="MATH-102-03-04"/>
    <s v="GRADE 8"/>
    <s v="SATURN"/>
    <d v="2026-02-15T11:55:56"/>
  </r>
  <r>
    <n v="21"/>
    <n v="4"/>
    <s v="Ava"/>
    <s v="Flores"/>
    <m/>
    <x v="1"/>
    <s v="MATH-102-04-04"/>
    <s v="GRADE 8"/>
    <s v="MARS"/>
    <d v="2026-02-15T11:55:56"/>
  </r>
  <r>
    <n v="22"/>
    <n v="5"/>
    <s v="Isabella"/>
    <s v="Cruz"/>
    <m/>
    <x v="1"/>
    <s v="ENG-103-05-04"/>
    <s v="GRADE 7"/>
    <s v="PASCAL"/>
    <d v="2026-02-15T11:55:56"/>
  </r>
  <r>
    <n v="23"/>
    <n v="1"/>
    <s v="Ava"/>
    <s v="Navarro"/>
    <m/>
    <x v="0"/>
    <s v="FIL-005-01-05"/>
    <s v="GRADE 10"/>
    <s v="RIZAL"/>
    <d v="2026-02-15T11:55:56"/>
  </r>
  <r>
    <n v="24"/>
    <n v="2"/>
    <s v="James"/>
    <s v="Diaz"/>
    <m/>
    <x v="0"/>
    <s v="SCI-101-02-05"/>
    <s v="GRADE 9"/>
    <s v="HONESTY"/>
    <d v="2026-02-15T11:55:56"/>
  </r>
  <r>
    <n v="25"/>
    <n v="3"/>
    <s v="Ava"/>
    <s v="Aquino"/>
    <m/>
    <x v="0"/>
    <s v="MATH-102-03-05"/>
    <s v="GRADE 8"/>
    <s v="SATURN"/>
    <d v="2026-02-15T11:55:56"/>
  </r>
  <r>
    <n v="26"/>
    <n v="4"/>
    <s v="Lucas"/>
    <s v="Bautista"/>
    <m/>
    <x v="0"/>
    <s v="MATH-102-04-05"/>
    <s v="GRADE 8"/>
    <s v="MARS"/>
    <d v="2026-02-15T11:55:56"/>
  </r>
  <r>
    <n v="27"/>
    <n v="5"/>
    <s v="Sophia"/>
    <s v="Castro"/>
    <m/>
    <x v="0"/>
    <s v="ENG-103-05-05"/>
    <s v="GRADE 7"/>
    <s v="PASCAL"/>
    <d v="2026-02-15T11:55:56"/>
  </r>
  <r>
    <n v="28"/>
    <n v="1"/>
    <s v="Ava"/>
    <s v="Diaz"/>
    <m/>
    <x v="1"/>
    <s v="FIL-005-01-06"/>
    <s v="GRADE 10"/>
    <s v="RIZAL"/>
    <d v="2026-02-15T11:55:56"/>
  </r>
  <r>
    <n v="29"/>
    <n v="2"/>
    <s v="Daniel"/>
    <s v="Castro"/>
    <m/>
    <x v="1"/>
    <s v="SCI-101-02-06"/>
    <s v="GRADE 9"/>
    <s v="HONESTY"/>
    <d v="2026-02-15T11:55:56"/>
  </r>
  <r>
    <n v="30"/>
    <n v="3"/>
    <s v="Mason"/>
    <s v="Gonzales"/>
    <m/>
    <x v="1"/>
    <s v="MATH-102-03-06"/>
    <s v="GRADE 8"/>
    <s v="SATURN"/>
    <d v="2026-02-15T11:55:56"/>
  </r>
  <r>
    <n v="31"/>
    <n v="4"/>
    <s v="Ethan"/>
    <s v="Domingo"/>
    <m/>
    <x v="1"/>
    <s v="MATH-102-04-06"/>
    <s v="GRADE 8"/>
    <s v="MARS"/>
    <d v="2026-02-15T11:55:56"/>
  </r>
  <r>
    <n v="32"/>
    <n v="5"/>
    <s v="Alexander"/>
    <s v="Castro"/>
    <m/>
    <x v="1"/>
    <s v="ENG-103-05-06"/>
    <s v="GRADE 7"/>
    <s v="PASCAL"/>
    <d v="2026-02-15T11:55:56"/>
  </r>
  <r>
    <n v="33"/>
    <n v="1"/>
    <s v="Sophia"/>
    <s v="Ramos"/>
    <m/>
    <x v="0"/>
    <s v="FIL-005-01-07"/>
    <s v="GRADE 10"/>
    <s v="RIZAL"/>
    <d v="2026-02-15T11:55:56"/>
  </r>
  <r>
    <n v="34"/>
    <n v="2"/>
    <s v="Noah"/>
    <s v="Mendoza"/>
    <m/>
    <x v="0"/>
    <s v="SCI-101-02-07"/>
    <s v="GRADE 9"/>
    <s v="HONESTY"/>
    <d v="2026-02-15T11:55:56"/>
  </r>
  <r>
    <n v="35"/>
    <n v="3"/>
    <s v="Alexander"/>
    <s v="Aquino"/>
    <m/>
    <x v="0"/>
    <s v="MATH-102-03-07"/>
    <s v="GRADE 8"/>
    <s v="SATURN"/>
    <d v="2026-02-15T11:55:56"/>
  </r>
  <r>
    <n v="36"/>
    <n v="4"/>
    <s v="Noah"/>
    <s v="Fernandez"/>
    <m/>
    <x v="0"/>
    <s v="MATH-102-04-07"/>
    <s v="GRADE 8"/>
    <s v="MARS"/>
    <d v="2026-02-15T11:55:56"/>
  </r>
  <r>
    <n v="37"/>
    <n v="5"/>
    <s v="Olivia"/>
    <s v="Reyes"/>
    <m/>
    <x v="0"/>
    <s v="ENG-103-05-07"/>
    <s v="GRADE 7"/>
    <s v="PASCAL"/>
    <d v="2026-02-15T11:55:56"/>
  </r>
  <r>
    <n v="38"/>
    <n v="1"/>
    <s v="Benjamin"/>
    <s v="Rivera"/>
    <m/>
    <x v="1"/>
    <s v="FIL-005-01-08"/>
    <s v="GRADE 10"/>
    <s v="RIZAL"/>
    <d v="2026-02-15T11:55:56"/>
  </r>
  <r>
    <n v="39"/>
    <n v="2"/>
    <s v="Henry"/>
    <s v="Rivera"/>
    <m/>
    <x v="1"/>
    <s v="SCI-101-02-08"/>
    <s v="GRADE 9"/>
    <s v="HONESTY"/>
    <d v="2026-02-15T11:55:56"/>
  </r>
  <r>
    <n v="40"/>
    <n v="3"/>
    <s v="James"/>
    <s v="Mendoza"/>
    <m/>
    <x v="1"/>
    <s v="MATH-102-03-08"/>
    <s v="GRADE 8"/>
    <s v="SATURN"/>
    <d v="2026-02-15T11:55:56"/>
  </r>
  <r>
    <n v="41"/>
    <n v="4"/>
    <s v="Alexander"/>
    <s v="Gonzales"/>
    <m/>
    <x v="1"/>
    <s v="MATH-102-04-08"/>
    <s v="GRADE 8"/>
    <s v="MARS"/>
    <d v="2026-02-15T11:55:56"/>
  </r>
  <r>
    <n v="42"/>
    <n v="5"/>
    <s v="James"/>
    <s v="Aquino"/>
    <m/>
    <x v="1"/>
    <s v="ENG-103-05-08"/>
    <s v="GRADE 7"/>
    <s v="PASCAL"/>
    <d v="2026-02-15T11:55:56"/>
  </r>
  <r>
    <n v="43"/>
    <n v="1"/>
    <s v="Ethan"/>
    <s v="Mendoza"/>
    <m/>
    <x v="0"/>
    <s v="FIL-005-01-09"/>
    <s v="GRADE 10"/>
    <s v="RIZAL"/>
    <d v="2026-02-15T11:55:56"/>
  </r>
  <r>
    <n v="44"/>
    <n v="2"/>
    <s v="Ethan"/>
    <s v="Mendoza"/>
    <m/>
    <x v="0"/>
    <s v="SCI-101-02-09"/>
    <s v="GRADE 9"/>
    <s v="HONESTY"/>
    <d v="2026-02-15T11:55:56"/>
  </r>
  <r>
    <n v="45"/>
    <n v="3"/>
    <s v="James"/>
    <s v="Santos"/>
    <m/>
    <x v="0"/>
    <s v="MATH-102-03-09"/>
    <s v="GRADE 8"/>
    <s v="SATURN"/>
    <d v="2026-02-15T11:55:56"/>
  </r>
  <r>
    <n v="46"/>
    <n v="4"/>
    <s v="Daniel"/>
    <s v="Diaz"/>
    <m/>
    <x v="0"/>
    <s v="MATH-102-04-09"/>
    <s v="GRADE 8"/>
    <s v="MARS"/>
    <d v="2026-02-15T11:55:56"/>
  </r>
  <r>
    <n v="47"/>
    <n v="5"/>
    <s v="Charlotte"/>
    <s v="Fernandez"/>
    <m/>
    <x v="0"/>
    <s v="ENG-103-05-09"/>
    <s v="GRADE 7"/>
    <s v="PASCAL"/>
    <d v="2026-02-15T11:55:56"/>
  </r>
  <r>
    <n v="48"/>
    <n v="1"/>
    <s v="Henry"/>
    <s v="Gonzales"/>
    <m/>
    <x v="1"/>
    <s v="FIL-005-01-10"/>
    <s v="GRADE 10"/>
    <s v="RIZAL"/>
    <d v="2026-02-15T11:55:56"/>
  </r>
  <r>
    <n v="49"/>
    <n v="2"/>
    <s v="Henry"/>
    <s v="Rivera"/>
    <m/>
    <x v="1"/>
    <s v="SCI-101-02-10"/>
    <s v="GRADE 9"/>
    <s v="HONESTY"/>
    <d v="2026-02-15T11:55:56"/>
  </r>
  <r>
    <n v="50"/>
    <n v="3"/>
    <s v="Elijah"/>
    <s v="Domingo"/>
    <m/>
    <x v="1"/>
    <s v="MATH-102-03-10"/>
    <s v="GRADE 8"/>
    <s v="SATURN"/>
    <d v="2026-02-15T11:55:56"/>
  </r>
  <r>
    <n v="51"/>
    <n v="4"/>
    <s v="Henry"/>
    <s v="Rivera"/>
    <m/>
    <x v="1"/>
    <s v="MATH-102-04-10"/>
    <s v="GRADE 8"/>
    <s v="MARS"/>
    <d v="2026-02-15T11:55:56"/>
  </r>
  <r>
    <n v="52"/>
    <n v="5"/>
    <s v="Isabella"/>
    <s v="Bautista"/>
    <m/>
    <x v="1"/>
    <s v="ENG-103-05-10"/>
    <s v="GRADE 7"/>
    <s v="PASCAL"/>
    <d v="2026-02-15T11:55:56"/>
  </r>
  <r>
    <n v="53"/>
    <n v="1"/>
    <s v="Alexander"/>
    <s v="Aquino"/>
    <m/>
    <x v="0"/>
    <s v="FIL-005-01-11"/>
    <s v="GRADE 10"/>
    <s v="RIZAL"/>
    <d v="2026-02-15T11:55:56"/>
  </r>
  <r>
    <n v="54"/>
    <n v="2"/>
    <s v="Ethan"/>
    <s v="Ramos"/>
    <m/>
    <x v="0"/>
    <s v="SCI-101-02-11"/>
    <s v="GRADE 9"/>
    <s v="HONESTY"/>
    <d v="2026-02-15T11:55:56"/>
  </r>
  <r>
    <n v="55"/>
    <n v="3"/>
    <s v="Benjamin"/>
    <s v="Torres"/>
    <m/>
    <x v="0"/>
    <s v="MATH-102-03-11"/>
    <s v="GRADE 8"/>
    <s v="SATURN"/>
    <d v="2026-02-15T11:55:56"/>
  </r>
  <r>
    <n v="56"/>
    <n v="4"/>
    <s v="Ethan"/>
    <s v="Castro"/>
    <m/>
    <x v="0"/>
    <s v="MATH-102-04-11"/>
    <s v="GRADE 8"/>
    <s v="MARS"/>
    <d v="2026-02-15T11:55:56"/>
  </r>
  <r>
    <n v="57"/>
    <n v="5"/>
    <s v="Olivia"/>
    <s v="Fernandez"/>
    <m/>
    <x v="0"/>
    <s v="ENG-103-05-11"/>
    <s v="GRADE 7"/>
    <s v="PASCAL"/>
    <d v="2026-02-15T11:55:56"/>
  </r>
  <r>
    <n v="58"/>
    <n v="1"/>
    <s v="Amelia"/>
    <s v="Morales"/>
    <m/>
    <x v="1"/>
    <s v="FIL-005-01-12"/>
    <s v="GRADE 10"/>
    <s v="RIZAL"/>
    <d v="2026-02-15T11:55:56"/>
  </r>
  <r>
    <n v="59"/>
    <n v="2"/>
    <s v="Mia"/>
    <s v="Cruz"/>
    <m/>
    <x v="1"/>
    <s v="SCI-101-02-12"/>
    <s v="GRADE 9"/>
    <s v="HONESTY"/>
    <d v="2026-02-15T11:55:56"/>
  </r>
  <r>
    <n v="60"/>
    <n v="3"/>
    <s v="Charlotte"/>
    <s v="Reyes"/>
    <m/>
    <x v="1"/>
    <s v="MATH-102-03-12"/>
    <s v="GRADE 8"/>
    <s v="SATURN"/>
    <d v="2026-02-15T11:55:56"/>
  </r>
  <r>
    <n v="61"/>
    <n v="4"/>
    <s v="Elijah"/>
    <s v="Morales"/>
    <m/>
    <x v="1"/>
    <s v="MATH-102-04-12"/>
    <s v="GRADE 8"/>
    <s v="MARS"/>
    <d v="2026-02-15T11:55:56"/>
  </r>
  <r>
    <n v="62"/>
    <n v="5"/>
    <s v="Mason"/>
    <s v="Castro"/>
    <m/>
    <x v="1"/>
    <s v="ENG-103-05-12"/>
    <s v="GRADE 7"/>
    <s v="PASCAL"/>
    <d v="2026-02-15T11:55:56"/>
  </r>
  <r>
    <n v="63"/>
    <n v="1"/>
    <s v="Ethan"/>
    <s v="Cruz"/>
    <m/>
    <x v="0"/>
    <s v="FIL-005-01-13"/>
    <s v="GRADE 10"/>
    <s v="RIZAL"/>
    <d v="2026-02-15T11:55:56"/>
  </r>
  <r>
    <n v="64"/>
    <n v="2"/>
    <s v="Sophia"/>
    <s v="Ramos"/>
    <m/>
    <x v="0"/>
    <s v="SCI-101-02-13"/>
    <s v="GRADE 9"/>
    <s v="HONESTY"/>
    <d v="2026-02-15T11:55:56"/>
  </r>
  <r>
    <n v="65"/>
    <n v="3"/>
    <s v="Henry"/>
    <s v="Mendoza"/>
    <m/>
    <x v="0"/>
    <s v="MATH-102-03-13"/>
    <s v="GRADE 8"/>
    <s v="SATURN"/>
    <d v="2026-02-15T11:55:56"/>
  </r>
  <r>
    <n v="66"/>
    <n v="4"/>
    <s v="Olivia"/>
    <s v="Salazar"/>
    <m/>
    <x v="0"/>
    <s v="MATH-102-04-13"/>
    <s v="GRADE 8"/>
    <s v="MARS"/>
    <d v="2026-02-15T11:55:56"/>
  </r>
  <r>
    <n v="67"/>
    <n v="5"/>
    <s v="Olivia"/>
    <s v="Garcia"/>
    <m/>
    <x v="0"/>
    <s v="ENG-103-05-13"/>
    <s v="GRADE 7"/>
    <s v="PASCAL"/>
    <d v="2026-02-15T11:55:56"/>
  </r>
  <r>
    <n v="68"/>
    <n v="1"/>
    <s v="Sophia"/>
    <s v="Torres"/>
    <m/>
    <x v="1"/>
    <s v="FIL-005-01-14"/>
    <s v="GRADE 10"/>
    <s v="RIZAL"/>
    <d v="2026-02-15T11:55:56"/>
  </r>
  <r>
    <n v="69"/>
    <n v="2"/>
    <s v="Isabella"/>
    <s v="Morales"/>
    <m/>
    <x v="1"/>
    <s v="SCI-101-02-14"/>
    <s v="GRADE 9"/>
    <s v="HONESTY"/>
    <d v="2026-02-15T11:55:56"/>
  </r>
  <r>
    <n v="70"/>
    <n v="3"/>
    <s v="Benjamin"/>
    <s v="Reyes"/>
    <m/>
    <x v="1"/>
    <s v="MATH-102-03-14"/>
    <s v="GRADE 8"/>
    <s v="SATURN"/>
    <d v="2026-02-15T11:55:56"/>
  </r>
  <r>
    <n v="71"/>
    <n v="4"/>
    <s v="Alexander"/>
    <s v="Gonzales"/>
    <m/>
    <x v="1"/>
    <s v="MATH-102-04-14"/>
    <s v="GRADE 8"/>
    <s v="MARS"/>
    <d v="2026-02-15T11:55:56"/>
  </r>
  <r>
    <n v="72"/>
    <n v="5"/>
    <s v="Noah"/>
    <s v="Rivera"/>
    <m/>
    <x v="1"/>
    <s v="ENG-103-05-14"/>
    <s v="GRADE 7"/>
    <s v="PASCAL"/>
    <d v="2026-02-15T11:55:56"/>
  </r>
  <r>
    <n v="73"/>
    <n v="1"/>
    <s v="Amelia"/>
    <s v="Mendoza"/>
    <m/>
    <x v="0"/>
    <s v="FIL-005-01-15"/>
    <s v="GRADE 10"/>
    <s v="RIZAL"/>
    <d v="2026-02-15T11:55:56"/>
  </r>
  <r>
    <n v="74"/>
    <n v="2"/>
    <s v="Isabella"/>
    <s v="Ramos"/>
    <m/>
    <x v="0"/>
    <s v="SCI-101-02-15"/>
    <s v="GRADE 9"/>
    <s v="HONESTY"/>
    <d v="2026-02-15T11:55:56"/>
  </r>
  <r>
    <n v="75"/>
    <n v="3"/>
    <s v="Amelia"/>
    <s v="Reyes"/>
    <m/>
    <x v="0"/>
    <s v="MATH-102-03-15"/>
    <s v="GRADE 8"/>
    <s v="SATURN"/>
    <d v="2026-02-15T11:55:56"/>
  </r>
  <r>
    <n v="76"/>
    <n v="4"/>
    <s v="Alexander"/>
    <s v="Ramos"/>
    <m/>
    <x v="0"/>
    <s v="MATH-102-04-15"/>
    <s v="GRADE 8"/>
    <s v="MARS"/>
    <d v="2026-02-15T11:55:56"/>
  </r>
  <r>
    <n v="77"/>
    <n v="5"/>
    <s v="Amelia"/>
    <s v="Garcia"/>
    <m/>
    <x v="0"/>
    <s v="ENG-103-05-15"/>
    <s v="GRADE 7"/>
    <s v="PASCAL"/>
    <d v="2026-02-15T11:55:56"/>
  </r>
  <r>
    <n v="78"/>
    <n v="1"/>
    <s v="JAPHET"/>
    <s v="DOROIN"/>
    <s v="C"/>
    <x v="0"/>
    <s v="02-2324-12345"/>
    <s v="GRADE 10"/>
    <s v="RIZAL"/>
    <d v="2026-02-16T18:13:46"/>
  </r>
  <r>
    <n v="79"/>
    <n v="4"/>
    <s v="REN"/>
    <s v="DOSOL"/>
    <s v="O"/>
    <x v="0"/>
    <s v="02-2324-54321"/>
    <s v="GRADE 8"/>
    <s v="MARS"/>
    <d v="2026-02-18T08:55:5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
    <x v="0"/>
    <x v="0"/>
    <x v="0"/>
    <n v="95.4"/>
    <n v="97.7"/>
    <n v="92.37"/>
    <x v="0"/>
    <x v="0"/>
    <d v="2026-02-16T14:31:06"/>
  </r>
  <r>
    <n v="2"/>
    <x v="1"/>
    <x v="1"/>
    <x v="1"/>
    <n v="55.5"/>
    <n v="67.5"/>
    <n v="57.89"/>
    <x v="1"/>
    <x v="1"/>
    <d v="2026-02-16T14:47:52"/>
  </r>
  <r>
    <n v="3"/>
    <x v="2"/>
    <x v="2"/>
    <x v="2"/>
    <n v="88.34"/>
    <n v="96.1"/>
    <n v="89.58"/>
    <x v="2"/>
    <x v="0"/>
    <d v="2026-02-18T09:03: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EEC8EB-E5F8-43E6-82F9-E15C08EF47DE}"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9" firstHeaderRow="1" firstDataRow="2" firstDataCol="1"/>
  <pivotFields count="9">
    <pivotField showAll="0"/>
    <pivotField showAll="0"/>
    <pivotField axis="axisRow" showAll="0">
      <items count="5">
        <item x="0"/>
        <item x="1"/>
        <item x="2"/>
        <item x="3"/>
        <item t="default"/>
      </items>
    </pivotField>
    <pivotField axis="axisCol" dataField="1" showAll="0">
      <items count="5">
        <item x="1"/>
        <item x="0"/>
        <item x="2"/>
        <item x="3"/>
        <item t="default"/>
      </items>
    </pivotField>
    <pivotField showAll="0"/>
    <pivotField numFmtId="164" showAll="0"/>
    <pivotField numFmtId="164" showAll="0"/>
    <pivotField showAll="0"/>
    <pivotField numFmtId="22" showAll="0"/>
  </pivotFields>
  <rowFields count="1">
    <field x="2"/>
  </rowFields>
  <rowItems count="5">
    <i>
      <x/>
    </i>
    <i>
      <x v="1"/>
    </i>
    <i>
      <x v="2"/>
    </i>
    <i>
      <x v="3"/>
    </i>
    <i t="grand">
      <x/>
    </i>
  </rowItems>
  <colFields count="1">
    <field x="3"/>
  </colFields>
  <colItems count="5">
    <i>
      <x/>
    </i>
    <i>
      <x v="1"/>
    </i>
    <i>
      <x v="2"/>
    </i>
    <i>
      <x v="3"/>
    </i>
    <i t="grand">
      <x/>
    </i>
  </colItems>
  <dataFields count="1">
    <dataField name="Count of subject" fld="3" subtotal="count"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5" format="12" series="1">
      <pivotArea type="data" outline="0" fieldPosition="0">
        <references count="2">
          <reference field="4294967294" count="1" selected="0">
            <x v="0"/>
          </reference>
          <reference field="3" count="1" selected="0">
            <x v="0"/>
          </reference>
        </references>
      </pivotArea>
    </chartFormat>
    <chartFormat chart="5" format="13" series="1">
      <pivotArea type="data" outline="0" fieldPosition="0">
        <references count="2">
          <reference field="4294967294" count="1" selected="0">
            <x v="0"/>
          </reference>
          <reference field="3" count="1" selected="0">
            <x v="1"/>
          </reference>
        </references>
      </pivotArea>
    </chartFormat>
    <chartFormat chart="5" format="14" series="1">
      <pivotArea type="data" outline="0" fieldPosition="0">
        <references count="2">
          <reference field="4294967294" count="1" selected="0">
            <x v="0"/>
          </reference>
          <reference field="3" count="1" selected="0">
            <x v="2"/>
          </reference>
        </references>
      </pivotArea>
    </chartFormat>
    <chartFormat chart="5" format="15"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AA2E9A-B01E-4F48-93E6-B8F638C8D2B0}"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5" firstHeaderRow="1" firstDataRow="2" firstDataCol="1"/>
  <pivotFields count="10">
    <pivotField showAll="0"/>
    <pivotField showAll="0">
      <items count="4">
        <item x="0"/>
        <item x="1"/>
        <item x="2"/>
        <item t="default"/>
      </items>
    </pivotField>
    <pivotField showAll="0">
      <items count="4">
        <item x="1"/>
        <item x="0"/>
        <item x="2"/>
        <item t="default"/>
      </items>
    </pivotField>
    <pivotField showAll="0">
      <items count="4">
        <item x="1"/>
        <item x="2"/>
        <item x="0"/>
        <item t="default"/>
      </items>
    </pivotField>
    <pivotField showAll="0"/>
    <pivotField showAll="0"/>
    <pivotField showAll="0"/>
    <pivotField showAll="0">
      <items count="4">
        <item x="1"/>
        <item x="2"/>
        <item x="0"/>
        <item t="default"/>
      </items>
    </pivotField>
    <pivotField axis="axisCol" dataField="1" showAll="0">
      <items count="3">
        <item x="1"/>
        <item x="0"/>
        <item t="default"/>
      </items>
    </pivotField>
    <pivotField numFmtId="22" showAll="0"/>
  </pivotFields>
  <rowItems count="1">
    <i/>
  </rowItems>
  <colFields count="1">
    <field x="8"/>
  </colFields>
  <colItems count="3">
    <i>
      <x/>
    </i>
    <i>
      <x v="1"/>
    </i>
    <i t="grand">
      <x/>
    </i>
  </colItems>
  <dataFields count="1">
    <dataField name="Count of remarks" fld="8" subtotal="count"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5" format="4" series="1">
      <pivotArea type="data" outline="0" fieldPosition="0">
        <references count="2">
          <reference field="4294967294" count="1" selected="0">
            <x v="0"/>
          </reference>
          <reference field="8" count="1" selected="0">
            <x v="0"/>
          </reference>
        </references>
      </pivotArea>
    </chartFormat>
    <chartFormat chart="5" format="5" series="1">
      <pivotArea type="data" outline="0" fieldPosition="0">
        <references count="2">
          <reference field="4294967294" count="1" selected="0">
            <x v="0"/>
          </reference>
          <reference field="8" count="1" selected="0">
            <x v="1"/>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BA6FD9-2208-4AA9-8FB5-1C5BC32D4AA5}"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A19" firstHeaderRow="1" firstDataRow="1" firstDataCol="0"/>
  <pivotFields count="10">
    <pivotField showAll="0"/>
    <pivotField showAll="0"/>
    <pivotField showAll="0"/>
    <pivotField dataField="1" showAll="0"/>
    <pivotField showAll="0"/>
    <pivotField showAll="0">
      <items count="3">
        <item x="1"/>
        <item x="0"/>
        <item t="default"/>
      </items>
    </pivotField>
    <pivotField showAll="0"/>
    <pivotField showAll="0"/>
    <pivotField showAll="0"/>
    <pivotField numFmtId="22" showAll="0"/>
  </pivotFields>
  <rowItems count="1">
    <i/>
  </rowItems>
  <colItems count="1">
    <i/>
  </colItems>
  <dataFields count="1">
    <dataField name="Count of last_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33942F-F8DD-433D-8ABE-85965832A983}"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0">
    <pivotField showAll="0"/>
    <pivotField showAll="0"/>
    <pivotField showAll="0"/>
    <pivotField showAll="0"/>
    <pivotField showAll="0"/>
    <pivotField axis="axisRow" dataField="1" showAll="0">
      <items count="3">
        <item x="1"/>
        <item x="0"/>
        <item t="default"/>
      </items>
    </pivotField>
    <pivotField showAll="0"/>
    <pivotField showAll="0"/>
    <pivotField showAll="0"/>
    <pivotField numFmtId="22" showAll="0"/>
  </pivotFields>
  <rowFields count="1">
    <field x="5"/>
  </rowFields>
  <rowItems count="3">
    <i>
      <x/>
    </i>
    <i>
      <x v="1"/>
    </i>
    <i t="grand">
      <x/>
    </i>
  </rowItems>
  <colItems count="1">
    <i/>
  </colItems>
  <dataFields count="1">
    <dataField name="Count of gender" fld="5"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6F8D68-9881-4F4C-9142-EE953D91F5F0}"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8">
    <pivotField showAll="0"/>
    <pivotField showAll="0"/>
    <pivotField numFmtId="14" showAll="0">
      <items count="4">
        <item x="0"/>
        <item x="1"/>
        <item x="2"/>
        <item t="default"/>
      </items>
    </pivotField>
    <pivotField axis="axisCol" dataField="1" showAll="0">
      <items count="4">
        <item x="1"/>
        <item x="2"/>
        <item x="0"/>
        <item t="default"/>
      </items>
    </pivotField>
    <pivotField showAll="0"/>
    <pivotField axis="axisRow" showAll="0">
      <items count="4">
        <item x="0"/>
        <item x="1"/>
        <item x="2"/>
        <item t="default"/>
      </items>
    </pivotField>
    <pivotField showAll="0">
      <items count="4">
        <item x="2"/>
        <item x="1"/>
        <item x="0"/>
        <item t="default"/>
      </items>
    </pivotField>
    <pivotField numFmtId="22" showAll="0"/>
  </pivotFields>
  <rowFields count="1">
    <field x="5"/>
  </rowFields>
  <rowItems count="4">
    <i>
      <x/>
    </i>
    <i>
      <x v="1"/>
    </i>
    <i>
      <x v="2"/>
    </i>
    <i t="grand">
      <x/>
    </i>
  </rowItems>
  <colFields count="1">
    <field x="3"/>
  </colFields>
  <colItems count="4">
    <i>
      <x/>
    </i>
    <i>
      <x v="1"/>
    </i>
    <i>
      <x v="2"/>
    </i>
    <i t="grand">
      <x/>
    </i>
  </colItems>
  <dataFields count="1">
    <dataField name="Count of statu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8" xr16:uid="{67F3BD25-3E11-40D0-80C2-09E788378472}" autoFormatId="16" applyNumberFormats="0" applyBorderFormats="0" applyFontFormats="0" applyPatternFormats="0" applyAlignmentFormats="0" applyWidthHeightFormats="0">
  <queryTableRefresh nextId="10">
    <queryTableFields count="9">
      <queryTableField id="1" name="id" tableColumnId="1"/>
      <queryTableField id="2" name="name" tableColumnId="2"/>
      <queryTableField id="3" name="username" tableColumnId="3"/>
      <queryTableField id="4" name="email" tableColumnId="4"/>
      <queryTableField id="5" name="password" tableColumnId="5"/>
      <queryTableField id="6" name="role" tableColumnId="6"/>
      <queryTableField id="7" name="student_profile_id" tableColumnId="7"/>
      <queryTableField id="8" name="last_login_at" tableColumnId="8"/>
      <queryTableField id="9" name="created_a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7" xr16:uid="{FA82B77F-2451-4A0E-BB58-13132530B1C0}" autoFormatId="16" applyNumberFormats="0" applyBorderFormats="0" applyFontFormats="0" applyPatternFormats="0" applyAlignmentFormats="0" applyWidthHeightFormats="0">
  <queryTableRefresh nextId="10">
    <queryTableFields count="9">
      <queryTableField id="1" name="id" tableColumnId="1"/>
      <queryTableField id="2" name="class_id" tableColumnId="2"/>
      <queryTableField id="3" name="grade_level" tableColumnId="3"/>
      <queryTableField id="4" name="subject" tableColumnId="4"/>
      <queryTableField id="5" name="day_of_week" tableColumnId="5"/>
      <queryTableField id="6" name="start_time" tableColumnId="6"/>
      <queryTableField id="7" name="end_time" tableColumnId="7"/>
      <queryTableField id="8" name="room" tableColumnId="8"/>
      <queryTableField id="9" name="created_at"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7F091E36-FD54-4213-8BF2-F51DEDEF8AF1}" autoFormatId="16" applyNumberFormats="0" applyBorderFormats="0" applyFontFormats="0" applyPatternFormats="0" applyAlignmentFormats="0" applyWidthHeightFormats="0">
  <queryTableRefresh nextId="8">
    <queryTableFields count="7">
      <queryTableField id="1" name="id" tableColumnId="1"/>
      <queryTableField id="2" name="student_id" tableColumnId="2"/>
      <queryTableField id="3" name="quarter" tableColumnId="3"/>
      <queryTableField id="4" name="grade_type" tableColumnId="4"/>
      <queryTableField id="5" name="scores" tableColumnId="5"/>
      <queryTableField id="6" name="total_score" tableColumnId="6"/>
      <queryTableField id="7" name="created_a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162091F1-7784-4A45-A883-ADD35E0E3140}" autoFormatId="16" applyNumberFormats="0" applyBorderFormats="0" applyFontFormats="0" applyPatternFormats="0" applyAlignmentFormats="0" applyWidthHeightFormats="0">
  <queryTableRefresh nextId="11">
    <queryTableFields count="10">
      <queryTableField id="1" name="id" tableColumnId="1"/>
      <queryTableField id="2" name="student_id" tableColumnId="2"/>
      <queryTableField id="3" name="q1_grade" tableColumnId="3"/>
      <queryTableField id="4" name="q2_grade" tableColumnId="4"/>
      <queryTableField id="5" name="q3_grade" tableColumnId="5"/>
      <queryTableField id="6" name="q4_grade" tableColumnId="6"/>
      <queryTableField id="7" name="raw_final_grade" tableColumnId="7"/>
      <queryTableField id="8" name="rounded_final_grade" tableColumnId="8"/>
      <queryTableField id="9" name="remarks" tableColumnId="9"/>
      <queryTableField id="10" name="finalized_at"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4707E0D6-6340-42A1-B8A8-87C623F8D886}" autoFormatId="16" applyNumberFormats="0" applyBorderFormats="0" applyFontFormats="0" applyPatternFormats="0" applyAlignmentFormats="0" applyWidthHeightFormats="0">
  <queryTableRefresh nextId="7">
    <queryTableFields count="6">
      <queryTableField id="1" name="id" tableColumnId="1"/>
      <queryTableField id="2" name="grade_level" tableColumnId="2"/>
      <queryTableField id="3" name="section" tableColumnId="3"/>
      <queryTableField id="4" name="subject" tableColumnId="4"/>
      <queryTableField id="5" name="subject_code" tableColumnId="5"/>
      <queryTableField id="6" name="created_at"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C327D2AC-1085-4FFC-909D-3C726ACCF207}" autoFormatId="16" applyNumberFormats="0" applyBorderFormats="0" applyFontFormats="0" applyPatternFormats="0" applyAlignmentFormats="0" applyWidthHeightFormats="0">
  <queryTableRefresh nextId="11">
    <queryTableFields count="10">
      <queryTableField id="1" name="id" tableColumnId="1"/>
      <queryTableField id="2" name="class_id" tableColumnId="2"/>
      <queryTableField id="3" name="first_name" tableColumnId="3"/>
      <queryTableField id="4" name="last_name" tableColumnId="4"/>
      <queryTableField id="5" name="middle_name" tableColumnId="5"/>
      <queryTableField id="6" name="gender" tableColumnId="6"/>
      <queryTableField id="7" name="student_id" tableColumnId="7"/>
      <queryTableField id="8" name="grade_level" tableColumnId="8"/>
      <queryTableField id="9" name="section" tableColumnId="9"/>
      <queryTableField id="10" name="created_at"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5E0F8EFC-9DF8-4E29-8108-FFC2B2EE655A}" autoFormatId="16" applyNumberFormats="0" applyBorderFormats="0" applyFontFormats="0" applyPatternFormats="0" applyAlignmentFormats="0" applyWidthHeightFormats="0">
  <queryTableRefresh nextId="6">
    <queryTableFields count="5">
      <queryTableField id="1" name="id" tableColumnId="1"/>
      <queryTableField id="2" name="class_id" tableColumnId="2"/>
      <queryTableField id="3" name="activity_date" tableColumnId="3"/>
      <queryTableField id="4" name="activity_text" tableColumnId="4"/>
      <queryTableField id="5" name="created_at"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7AD4BC53-9180-42E6-A458-ACFC72F428A2}" autoFormatId="16" applyNumberFormats="0" applyBorderFormats="0" applyFontFormats="0" applyPatternFormats="0" applyAlignmentFormats="0" applyWidthHeightFormats="0">
  <queryTableRefresh nextId="9">
    <queryTableFields count="8">
      <queryTableField id="1" name="id" tableColumnId="1"/>
      <queryTableField id="2" name="student_id" tableColumnId="2"/>
      <queryTableField id="3" name="date" tableColumnId="3"/>
      <queryTableField id="4" name="status" tableColumnId="4"/>
      <queryTableField id="5" name="remarks" tableColumnId="5"/>
      <queryTableField id="6" name="grade_level" tableColumnId="6"/>
      <queryTableField id="7" name="section" tableColumnId="7"/>
      <queryTableField id="8" name="created_a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26BC8CC-18E4-4BA0-ACC7-BF68C9A741EB}" sourceName="date">
  <pivotTables>
    <pivotTable tabId="12" name="PivotTable2"/>
  </pivotTables>
  <data>
    <tabular pivotCacheId="38176171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_level" xr10:uid="{667CE42B-DA76-49C4-AD20-7C19AF1F54FA}" sourceName="grade_level">
  <pivotTables>
    <pivotTable tabId="14" name="PivotTable3"/>
  </pivotTables>
  <data>
    <tabular pivotCacheId="50041158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8C81D756-74EB-44F3-B4F7-877777F80541}" sourceName="subject">
  <pivotTables>
    <pivotTable tabId="14" name="PivotTable3"/>
  </pivotTables>
  <data>
    <tabular pivotCacheId="500411586">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6C2E6E2-7205-46D8-A342-42B3D133D915}" cache="Slicer_date" caption="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EE96FC65-4904-4CDD-BDFC-2522752F4685}" cache="Slicer_date" caption="date" rowHeight="241300"/>
  <slicer name="grade_level" xr10:uid="{F231EA07-10B8-4C9B-9039-93185070D2FA}" cache="Slicer_grade_level" caption="grade_level" rowHeight="241300"/>
  <slicer name="subject" xr10:uid="{96637EB9-54FB-4EE0-B690-35736A8D486B}" cache="Slicer_subject" caption="subje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0D20C1-2BEE-4CB5-90AC-E6A89829FE7A}" name="users" displayName="users" ref="A1:I161" tableType="queryTable" totalsRowShown="0">
  <autoFilter ref="A1:I161" xr:uid="{690D20C1-2BEE-4CB5-90AC-E6A89829FE7A}"/>
  <tableColumns count="9">
    <tableColumn id="1" xr3:uid="{10358C94-9671-4798-8A8D-54E1EB6843CA}" uniqueName="1" name="id" queryTableFieldId="1"/>
    <tableColumn id="2" xr3:uid="{E3390DE3-55DC-4DAC-87EE-A689A6AA023E}" uniqueName="2" name="name" queryTableFieldId="2" dataDxfId="6"/>
    <tableColumn id="3" xr3:uid="{031CA0BE-BCC7-4198-BAAB-75E4A0E83BDA}" uniqueName="3" name="username" queryTableFieldId="3" dataDxfId="5"/>
    <tableColumn id="4" xr3:uid="{0BE27CE2-6BA0-4E1F-BBA7-8F5F41B529B3}" uniqueName="4" name="email" queryTableFieldId="4" dataDxfId="4"/>
    <tableColumn id="5" xr3:uid="{7A1EA09B-2115-4505-888E-712F9C5A9073}" uniqueName="5" name="password" queryTableFieldId="5" dataDxfId="3"/>
    <tableColumn id="6" xr3:uid="{7BE6028C-54BA-4CB0-B879-0BC6736D2AE3}" uniqueName="6" name="role" queryTableFieldId="6" dataDxfId="2"/>
    <tableColumn id="7" xr3:uid="{8737559A-E6D2-4C8E-A20E-2A60C241D133}" uniqueName="7" name="student_profile_id" queryTableFieldId="7"/>
    <tableColumn id="8" xr3:uid="{0F4CA7C2-AA80-4068-8BEE-16785C461637}" uniqueName="8" name="last_login_at" queryTableFieldId="8" dataDxfId="1"/>
    <tableColumn id="9" xr3:uid="{72514115-24B1-4193-8FB5-F4D75AC32F20}" uniqueName="9" name="created_at" queryTableFieldId="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102D55-FAF8-4191-AA60-61AA157A4F5B}" name="schedules" displayName="schedules" ref="A1:I6" tableType="queryTable" totalsRowShown="0">
  <autoFilter ref="A1:I6" xr:uid="{7E102D55-FAF8-4191-AA60-61AA157A4F5B}"/>
  <tableColumns count="9">
    <tableColumn id="1" xr3:uid="{F33EB002-3637-413B-A4FC-DE19638EDA62}" uniqueName="1" name="id" queryTableFieldId="1"/>
    <tableColumn id="2" xr3:uid="{8C42CBA3-D33B-479D-A054-D47BD65AC07A}" uniqueName="2" name="class_id" queryTableFieldId="2"/>
    <tableColumn id="3" xr3:uid="{46A6F6B0-5BD4-4EFF-B878-1B6D1C986D8F}" uniqueName="3" name="grade_level" queryTableFieldId="3" dataDxfId="13"/>
    <tableColumn id="4" xr3:uid="{BA3D5463-5684-4F17-837A-B72EF0ED5F6F}" uniqueName="4" name="subject" queryTableFieldId="4" dataDxfId="12"/>
    <tableColumn id="5" xr3:uid="{752CF2E0-920B-4652-B3FB-CF8264B1F3B8}" uniqueName="5" name="day_of_week" queryTableFieldId="5" dataDxfId="11"/>
    <tableColumn id="6" xr3:uid="{AF786A6C-CBA2-4186-8863-59A8D4A2E74B}" uniqueName="6" name="start_time" queryTableFieldId="6" dataDxfId="10"/>
    <tableColumn id="7" xr3:uid="{E08B2450-B360-4751-963C-B091BAF146B0}" uniqueName="7" name="end_time" queryTableFieldId="7" dataDxfId="9"/>
    <tableColumn id="8" xr3:uid="{52E1FF24-48D4-492C-A0C0-8FBFC09A29C9}" uniqueName="8" name="room" queryTableFieldId="8" dataDxfId="8"/>
    <tableColumn id="9" xr3:uid="{7EABEA14-5C34-4FC8-83FA-D405D71C8328}" uniqueName="9" name="created_at" queryTableFieldId="9"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883AD3-8F26-4265-BBE9-DC4ACAA3B1F2}" name="grades" displayName="grades" ref="A1:G38" tableType="queryTable" totalsRowShown="0">
  <autoFilter ref="A1:G38" xr:uid="{BB883AD3-8F26-4265-BBE9-DC4ACAA3B1F2}"/>
  <tableColumns count="7">
    <tableColumn id="1" xr3:uid="{7A0D9D8E-09E7-4D06-BEFD-EB0C2B9714F9}" uniqueName="1" name="id" queryTableFieldId="1"/>
    <tableColumn id="2" xr3:uid="{D4F6A17F-7224-4206-B40C-EC6772E8F440}" uniqueName="2" name="student_id" queryTableFieldId="2"/>
    <tableColumn id="3" xr3:uid="{085563AA-0CA3-4FD0-BE5A-9EB03AF9D851}" uniqueName="3" name="quarter" queryTableFieldId="3"/>
    <tableColumn id="4" xr3:uid="{4AC3F6D0-FFA1-45FE-844D-5745EDBDFC67}" uniqueName="4" name="grade_type" queryTableFieldId="4" dataDxfId="17"/>
    <tableColumn id="5" xr3:uid="{133C6421-EC99-4E8E-9EE1-DC4866B4E436}" uniqueName="5" name="scores" queryTableFieldId="5" dataDxfId="16"/>
    <tableColumn id="6" xr3:uid="{3536A7A3-D8D2-44B7-AB1D-5A5351B51F88}" uniqueName="6" name="total_score" queryTableFieldId="6" dataDxfId="15"/>
    <tableColumn id="7" xr3:uid="{35C9A0EB-7987-4EBB-AC05-F4FBC5238297}" uniqueName="7" name="created_at" queryTableFieldId="7"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C46D90-0119-408B-8D69-F00C5F99E247}" name="final_grades" displayName="final_grades" ref="A1:J4" tableType="queryTable" totalsRowShown="0">
  <autoFilter ref="A1:J4" xr:uid="{93C46D90-0119-408B-8D69-F00C5F99E247}"/>
  <tableColumns count="10">
    <tableColumn id="1" xr3:uid="{F444C855-E6CE-4986-ABBD-7E4738DE314F}" uniqueName="1" name="id" queryTableFieldId="1"/>
    <tableColumn id="2" xr3:uid="{00991CAA-E16A-43B4-8B83-83BE727A9A31}" uniqueName="2" name="student_id" queryTableFieldId="2"/>
    <tableColumn id="3" xr3:uid="{D13FF5FE-D8DD-4A34-A415-2AC3AFF76555}" uniqueName="3" name="q1_grade" queryTableFieldId="3"/>
    <tableColumn id="4" xr3:uid="{B44F11F4-BE13-4737-B980-A86129606779}" uniqueName="4" name="q2_grade" queryTableFieldId="4"/>
    <tableColumn id="5" xr3:uid="{44E9C1F3-5757-4693-B02C-D0408C17E75D}" uniqueName="5" name="q3_grade" queryTableFieldId="5"/>
    <tableColumn id="6" xr3:uid="{EFA8B205-A65A-407E-9942-74DA7E690975}" uniqueName="6" name="q4_grade" queryTableFieldId="6"/>
    <tableColumn id="7" xr3:uid="{EAFA1888-0BB1-4A01-91F4-D5A56D53A0BD}" uniqueName="7" name="raw_final_grade" queryTableFieldId="7"/>
    <tableColumn id="8" xr3:uid="{ED106BE2-B685-48DB-AEBA-6BE5259F8A82}" uniqueName="8" name="rounded_final_grade" queryTableFieldId="8"/>
    <tableColumn id="9" xr3:uid="{5B4DD05E-79D6-40ED-9B40-959A4C233548}" uniqueName="9" name="remarks" queryTableFieldId="9" dataDxfId="19"/>
    <tableColumn id="10" xr3:uid="{5CD2341F-5795-46DE-87AD-F77DFCED868C}" uniqueName="10" name="finalized_at" queryTableFieldId="10" dataDxf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8E2B4D-3BA2-4046-9EAA-6DA8F0AC284B}" name="classes" displayName="classes" ref="A1:F6" tableType="queryTable" totalsRowShown="0">
  <autoFilter ref="A1:F6" xr:uid="{B48E2B4D-3BA2-4046-9EAA-6DA8F0AC284B}"/>
  <tableColumns count="6">
    <tableColumn id="1" xr3:uid="{EF929799-D2A2-4ED9-9D42-1A712F6E10E4}" uniqueName="1" name="id" queryTableFieldId="1"/>
    <tableColumn id="2" xr3:uid="{BCCEB1B6-B4C0-4F32-84C3-C93360E8FE79}" uniqueName="2" name="grade_level" queryTableFieldId="2" dataDxfId="24"/>
    <tableColumn id="3" xr3:uid="{9030B0D8-B90C-4055-A127-6ABF849892B0}" uniqueName="3" name="section" queryTableFieldId="3" dataDxfId="23"/>
    <tableColumn id="4" xr3:uid="{67D667BC-73A1-40F8-BC38-183E824192C1}" uniqueName="4" name="subject" queryTableFieldId="4" dataDxfId="22"/>
    <tableColumn id="5" xr3:uid="{C4C5F644-7C41-4C70-BFEA-15FB027EDF8D}" uniqueName="5" name="subject_code" queryTableFieldId="5" dataDxfId="21"/>
    <tableColumn id="6" xr3:uid="{3A9D3BD0-BAFC-45D6-BE47-D565CBD487A6}" uniqueName="6" name="created_at" queryTableFieldId="6" dataDxfId="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6D4374-ABB4-4448-A1AE-24A90E7A84AD}" name="class_students" displayName="class_students" ref="A1:J80" tableType="queryTable" totalsRowShown="0">
  <autoFilter ref="A1:J80" xr:uid="{596D4374-ABB4-4448-A1AE-24A90E7A84AD}"/>
  <tableColumns count="10">
    <tableColumn id="1" xr3:uid="{D603D916-E903-436E-BCCE-44C68F797DA5}" uniqueName="1" name="id" queryTableFieldId="1"/>
    <tableColumn id="2" xr3:uid="{9DA32ECE-A0BB-49A8-80BE-3715F5788366}" uniqueName="2" name="class_id" queryTableFieldId="2"/>
    <tableColumn id="3" xr3:uid="{321D0CAF-D47C-4FA0-B92E-6EF904C1A17D}" uniqueName="3" name="first_name" queryTableFieldId="3" dataDxfId="32"/>
    <tableColumn id="4" xr3:uid="{BACF0074-69F3-4486-BA42-3B35AE198DE2}" uniqueName="4" name="last_name" queryTableFieldId="4" dataDxfId="31"/>
    <tableColumn id="5" xr3:uid="{7859D1E9-7CD0-4129-B0D4-C579B103A258}" uniqueName="5" name="middle_name" queryTableFieldId="5" dataDxfId="30"/>
    <tableColumn id="6" xr3:uid="{DDCC7779-9E13-424E-A26F-6E478CF4799A}" uniqueName="6" name="gender" queryTableFieldId="6" dataDxfId="29"/>
    <tableColumn id="7" xr3:uid="{5CBF2211-8C6E-4010-9FC8-E8603565891E}" uniqueName="7" name="student_id" queryTableFieldId="7" dataDxfId="28"/>
    <tableColumn id="8" xr3:uid="{065AAAB1-4C7F-4870-857C-A6037301C434}" uniqueName="8" name="grade_level" queryTableFieldId="8" dataDxfId="27"/>
    <tableColumn id="9" xr3:uid="{3561E0A4-7645-423F-B1F4-903E3C1994AE}" uniqueName="9" name="section" queryTableFieldId="9" dataDxfId="26"/>
    <tableColumn id="10" xr3:uid="{0AD8573C-37C7-41E2-913C-6071E518099A}" uniqueName="10" name="created_at" queryTableFieldId="10" dataDxfId="2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D83F8E-5C6E-43F4-92D3-AA85E5F609E5}" name="class_activities" displayName="class_activities" ref="A1:E2" tableType="queryTable" totalsRowShown="0">
  <autoFilter ref="A1:E2" xr:uid="{E7D83F8E-5C6E-43F4-92D3-AA85E5F609E5}"/>
  <tableColumns count="5">
    <tableColumn id="1" xr3:uid="{8C7F9867-46FB-46A6-BC91-5DE67A320C80}" uniqueName="1" name="id" queryTableFieldId="1"/>
    <tableColumn id="2" xr3:uid="{4640F7CC-E2FF-4E18-B040-7A1C60900716}" uniqueName="2" name="class_id" queryTableFieldId="2"/>
    <tableColumn id="3" xr3:uid="{E210DA24-7991-44EC-9DD6-0ED438B5D333}" uniqueName="3" name="activity_date" queryTableFieldId="3" dataDxfId="35"/>
    <tableColumn id="4" xr3:uid="{E13A37D1-6726-448F-A6A7-4EBDD3D5E9E4}" uniqueName="4" name="activity_text" queryTableFieldId="4" dataDxfId="34"/>
    <tableColumn id="5" xr3:uid="{F6075E65-6CD1-4B76-9B1F-8C829ECABBAC}" uniqueName="5" name="created_at" queryTableFieldId="5" dataDxfId="3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2A7453-41C8-4E38-8E0F-EAE31C5CE47B}" name="attendance" displayName="attendance" ref="A1:H52" tableType="queryTable" totalsRowShown="0">
  <autoFilter ref="A1:H52" xr:uid="{592A7453-41C8-4E38-8E0F-EAE31C5CE47B}"/>
  <tableColumns count="8">
    <tableColumn id="1" xr3:uid="{C02DEB7E-EB8A-4500-B26A-1766DB92F190}" uniqueName="1" name="id" queryTableFieldId="1"/>
    <tableColumn id="2" xr3:uid="{2CDB56CB-C433-4ABD-A7C1-9B3425E78D21}" uniqueName="2" name="student_id" queryTableFieldId="2"/>
    <tableColumn id="3" xr3:uid="{38778B9F-3001-47D5-B202-E5DD5A132630}" uniqueName="3" name="date" queryTableFieldId="3" dataDxfId="41"/>
    <tableColumn id="4" xr3:uid="{5FD4950E-B0BA-4DB4-83E5-8D2143C797D2}" uniqueName="4" name="status" queryTableFieldId="4" dataDxfId="40"/>
    <tableColumn id="5" xr3:uid="{CA0BA48F-DE5E-455F-B19C-D10836CF23F6}" uniqueName="5" name="remarks" queryTableFieldId="5" dataDxfId="39"/>
    <tableColumn id="6" xr3:uid="{8C17012E-7676-4041-9C84-E7CD83F47EDD}" uniqueName="6" name="grade_level" queryTableFieldId="6" dataDxfId="38"/>
    <tableColumn id="7" xr3:uid="{C6F6E05F-F054-40CF-950C-A7B8618029DA}" uniqueName="7" name="section" queryTableFieldId="7" dataDxfId="37"/>
    <tableColumn id="8" xr3:uid="{A0789FB0-E126-4E3A-A57D-E0F9C5D93C36}" uniqueName="8" name="created_at" queryTableFieldId="8" dataDxf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8032E-5B83-42E1-A3E6-A101979045E9}">
  <dimension ref="A1:I161"/>
  <sheetViews>
    <sheetView workbookViewId="0"/>
  </sheetViews>
  <sheetFormatPr defaultRowHeight="15" x14ac:dyDescent="0.25"/>
  <cols>
    <col min="1" max="1" width="5" bestFit="1" customWidth="1"/>
    <col min="2" max="2" width="20.42578125" bestFit="1" customWidth="1"/>
    <col min="3" max="4" width="28.7109375" bestFit="1" customWidth="1"/>
    <col min="5" max="5" width="70.42578125" bestFit="1" customWidth="1"/>
    <col min="6" max="6" width="7.85546875" bestFit="1" customWidth="1"/>
    <col min="7" max="7" width="20.140625" bestFit="1" customWidth="1"/>
    <col min="8" max="9" width="14.85546875" bestFit="1" customWidth="1"/>
  </cols>
  <sheetData>
    <row r="1" spans="1:9" x14ac:dyDescent="0.25">
      <c r="A1" t="s">
        <v>0</v>
      </c>
      <c r="B1" t="s">
        <v>237</v>
      </c>
      <c r="C1" t="s">
        <v>238</v>
      </c>
      <c r="D1" t="s">
        <v>239</v>
      </c>
      <c r="E1" t="s">
        <v>240</v>
      </c>
      <c r="F1" t="s">
        <v>241</v>
      </c>
      <c r="G1" t="s">
        <v>242</v>
      </c>
      <c r="H1" t="s">
        <v>243</v>
      </c>
      <c r="I1" t="s">
        <v>7</v>
      </c>
    </row>
    <row r="2" spans="1:9" x14ac:dyDescent="0.25">
      <c r="A2">
        <v>1</v>
      </c>
      <c r="B2" s="2" t="s">
        <v>244</v>
      </c>
      <c r="C2" s="2" t="s">
        <v>245</v>
      </c>
      <c r="D2" s="2"/>
      <c r="E2" s="2" t="s">
        <v>246</v>
      </c>
      <c r="F2" s="2" t="s">
        <v>245</v>
      </c>
      <c r="H2" s="3">
        <v>46071.352129629631</v>
      </c>
      <c r="I2" s="3">
        <v>46069.714861111112</v>
      </c>
    </row>
    <row r="3" spans="1:9" x14ac:dyDescent="0.25">
      <c r="A3">
        <v>21</v>
      </c>
      <c r="B3" s="2" t="s">
        <v>247</v>
      </c>
      <c r="C3" s="2" t="s">
        <v>248</v>
      </c>
      <c r="D3" s="2"/>
      <c r="E3" s="2" t="s">
        <v>246</v>
      </c>
      <c r="F3" s="2" t="s">
        <v>249</v>
      </c>
      <c r="H3" s="3"/>
      <c r="I3" s="3">
        <v>46069.749537037038</v>
      </c>
    </row>
    <row r="4" spans="1:9" x14ac:dyDescent="0.25">
      <c r="A4">
        <v>22</v>
      </c>
      <c r="B4" s="2" t="s">
        <v>250</v>
      </c>
      <c r="C4" s="2" t="s">
        <v>251</v>
      </c>
      <c r="D4" s="2"/>
      <c r="E4" s="2" t="s">
        <v>246</v>
      </c>
      <c r="F4" s="2" t="s">
        <v>249</v>
      </c>
      <c r="H4" s="3"/>
      <c r="I4" s="3">
        <v>46069.749537037038</v>
      </c>
    </row>
    <row r="5" spans="1:9" x14ac:dyDescent="0.25">
      <c r="A5">
        <v>23</v>
      </c>
      <c r="B5" s="2" t="s">
        <v>252</v>
      </c>
      <c r="C5" s="2" t="s">
        <v>253</v>
      </c>
      <c r="D5" s="2"/>
      <c r="E5" s="2" t="s">
        <v>246</v>
      </c>
      <c r="F5" s="2" t="s">
        <v>254</v>
      </c>
      <c r="G5">
        <v>1</v>
      </c>
      <c r="H5" s="3"/>
      <c r="I5" s="3">
        <v>46069.749537037038</v>
      </c>
    </row>
    <row r="6" spans="1:9" x14ac:dyDescent="0.25">
      <c r="A6">
        <v>24</v>
      </c>
      <c r="B6" s="2" t="s">
        <v>255</v>
      </c>
      <c r="C6" s="2" t="s">
        <v>256</v>
      </c>
      <c r="D6" s="2"/>
      <c r="E6" s="2" t="s">
        <v>246</v>
      </c>
      <c r="F6" s="2" t="s">
        <v>254</v>
      </c>
      <c r="G6">
        <v>2</v>
      </c>
      <c r="H6" s="3"/>
      <c r="I6" s="3">
        <v>46069.749537037038</v>
      </c>
    </row>
    <row r="7" spans="1:9" x14ac:dyDescent="0.25">
      <c r="A7">
        <v>32</v>
      </c>
      <c r="B7" s="2" t="s">
        <v>257</v>
      </c>
      <c r="C7" s="2" t="s">
        <v>258</v>
      </c>
      <c r="D7" s="2" t="s">
        <v>258</v>
      </c>
      <c r="E7" s="2" t="s">
        <v>259</v>
      </c>
      <c r="F7" s="2" t="s">
        <v>254</v>
      </c>
      <c r="G7">
        <v>1</v>
      </c>
      <c r="H7" s="3"/>
      <c r="I7" s="3">
        <v>46069.755208333336</v>
      </c>
    </row>
    <row r="8" spans="1:9" x14ac:dyDescent="0.25">
      <c r="A8">
        <v>33</v>
      </c>
      <c r="B8" s="2" t="s">
        <v>260</v>
      </c>
      <c r="C8" s="2" t="s">
        <v>261</v>
      </c>
      <c r="D8" s="2" t="s">
        <v>261</v>
      </c>
      <c r="E8" s="2" t="s">
        <v>262</v>
      </c>
      <c r="F8" s="2" t="s">
        <v>254</v>
      </c>
      <c r="G8">
        <v>2</v>
      </c>
      <c r="H8" s="3"/>
      <c r="I8" s="3">
        <v>46069.755208333336</v>
      </c>
    </row>
    <row r="9" spans="1:9" x14ac:dyDescent="0.25">
      <c r="A9">
        <v>34</v>
      </c>
      <c r="B9" s="2" t="s">
        <v>263</v>
      </c>
      <c r="C9" s="2" t="s">
        <v>264</v>
      </c>
      <c r="D9" s="2" t="s">
        <v>264</v>
      </c>
      <c r="E9" s="2" t="s">
        <v>265</v>
      </c>
      <c r="F9" s="2" t="s">
        <v>254</v>
      </c>
      <c r="G9">
        <v>3</v>
      </c>
      <c r="H9" s="3"/>
      <c r="I9" s="3">
        <v>46069.755208333336</v>
      </c>
    </row>
    <row r="10" spans="1:9" x14ac:dyDescent="0.25">
      <c r="A10">
        <v>35</v>
      </c>
      <c r="B10" s="2" t="s">
        <v>266</v>
      </c>
      <c r="C10" s="2" t="s">
        <v>267</v>
      </c>
      <c r="D10" s="2" t="s">
        <v>267</v>
      </c>
      <c r="E10" s="2" t="s">
        <v>268</v>
      </c>
      <c r="F10" s="2" t="s">
        <v>254</v>
      </c>
      <c r="G10">
        <v>4</v>
      </c>
      <c r="H10" s="3"/>
      <c r="I10" s="3">
        <v>46069.755208333336</v>
      </c>
    </row>
    <row r="11" spans="1:9" x14ac:dyDescent="0.25">
      <c r="A11">
        <v>36</v>
      </c>
      <c r="B11" s="2" t="s">
        <v>269</v>
      </c>
      <c r="C11" s="2" t="s">
        <v>270</v>
      </c>
      <c r="D11" s="2" t="s">
        <v>270</v>
      </c>
      <c r="E11" s="2" t="s">
        <v>271</v>
      </c>
      <c r="F11" s="2" t="s">
        <v>254</v>
      </c>
      <c r="G11">
        <v>5</v>
      </c>
      <c r="H11" s="3"/>
      <c r="I11" s="3">
        <v>46069.755208333336</v>
      </c>
    </row>
    <row r="12" spans="1:9" x14ac:dyDescent="0.25">
      <c r="A12">
        <v>37</v>
      </c>
      <c r="B12" s="2" t="s">
        <v>272</v>
      </c>
      <c r="C12" s="2" t="s">
        <v>273</v>
      </c>
      <c r="D12" s="2" t="s">
        <v>273</v>
      </c>
      <c r="E12" s="2" t="s">
        <v>274</v>
      </c>
      <c r="F12" s="2" t="s">
        <v>254</v>
      </c>
      <c r="G12">
        <v>6</v>
      </c>
      <c r="H12" s="3"/>
      <c r="I12" s="3">
        <v>46069.755208333336</v>
      </c>
    </row>
    <row r="13" spans="1:9" x14ac:dyDescent="0.25">
      <c r="A13">
        <v>38</v>
      </c>
      <c r="B13" s="2" t="s">
        <v>275</v>
      </c>
      <c r="C13" s="2" t="s">
        <v>276</v>
      </c>
      <c r="D13" s="2" t="s">
        <v>276</v>
      </c>
      <c r="E13" s="2" t="s">
        <v>277</v>
      </c>
      <c r="F13" s="2" t="s">
        <v>254</v>
      </c>
      <c r="G13">
        <v>7</v>
      </c>
      <c r="H13" s="3"/>
      <c r="I13" s="3">
        <v>46069.755208333336</v>
      </c>
    </row>
    <row r="14" spans="1:9" x14ac:dyDescent="0.25">
      <c r="A14">
        <v>39</v>
      </c>
      <c r="B14" s="2" t="s">
        <v>278</v>
      </c>
      <c r="C14" s="2" t="s">
        <v>279</v>
      </c>
      <c r="D14" s="2" t="s">
        <v>279</v>
      </c>
      <c r="E14" s="2" t="s">
        <v>280</v>
      </c>
      <c r="F14" s="2" t="s">
        <v>254</v>
      </c>
      <c r="G14">
        <v>8</v>
      </c>
      <c r="H14" s="3"/>
      <c r="I14" s="3">
        <v>46069.755208333336</v>
      </c>
    </row>
    <row r="15" spans="1:9" x14ac:dyDescent="0.25">
      <c r="A15">
        <v>40</v>
      </c>
      <c r="B15" s="2" t="s">
        <v>281</v>
      </c>
      <c r="C15" s="2" t="s">
        <v>282</v>
      </c>
      <c r="D15" s="2" t="s">
        <v>282</v>
      </c>
      <c r="E15" s="2" t="s">
        <v>283</v>
      </c>
      <c r="F15" s="2" t="s">
        <v>254</v>
      </c>
      <c r="G15">
        <v>9</v>
      </c>
      <c r="H15" s="3"/>
      <c r="I15" s="3">
        <v>46069.755208333336</v>
      </c>
    </row>
    <row r="16" spans="1:9" x14ac:dyDescent="0.25">
      <c r="A16">
        <v>41</v>
      </c>
      <c r="B16" s="2" t="s">
        <v>284</v>
      </c>
      <c r="C16" s="2" t="s">
        <v>285</v>
      </c>
      <c r="D16" s="2" t="s">
        <v>285</v>
      </c>
      <c r="E16" s="2" t="s">
        <v>286</v>
      </c>
      <c r="F16" s="2" t="s">
        <v>254</v>
      </c>
      <c r="G16">
        <v>10</v>
      </c>
      <c r="H16" s="3"/>
      <c r="I16" s="3">
        <v>46069.755208333336</v>
      </c>
    </row>
    <row r="17" spans="1:9" x14ac:dyDescent="0.25">
      <c r="A17">
        <v>42</v>
      </c>
      <c r="B17" s="2" t="s">
        <v>287</v>
      </c>
      <c r="C17" s="2" t="s">
        <v>288</v>
      </c>
      <c r="D17" s="2" t="s">
        <v>288</v>
      </c>
      <c r="E17" s="2" t="s">
        <v>289</v>
      </c>
      <c r="F17" s="2" t="s">
        <v>254</v>
      </c>
      <c r="G17">
        <v>11</v>
      </c>
      <c r="H17" s="3"/>
      <c r="I17" s="3">
        <v>46069.755208333336</v>
      </c>
    </row>
    <row r="18" spans="1:9" x14ac:dyDescent="0.25">
      <c r="A18">
        <v>43</v>
      </c>
      <c r="B18" s="2" t="s">
        <v>290</v>
      </c>
      <c r="C18" s="2" t="s">
        <v>291</v>
      </c>
      <c r="D18" s="2" t="s">
        <v>291</v>
      </c>
      <c r="E18" s="2" t="s">
        <v>292</v>
      </c>
      <c r="F18" s="2" t="s">
        <v>254</v>
      </c>
      <c r="G18">
        <v>12</v>
      </c>
      <c r="H18" s="3"/>
      <c r="I18" s="3">
        <v>46069.755208333336</v>
      </c>
    </row>
    <row r="19" spans="1:9" x14ac:dyDescent="0.25">
      <c r="A19">
        <v>44</v>
      </c>
      <c r="B19" s="2" t="s">
        <v>293</v>
      </c>
      <c r="C19" s="2" t="s">
        <v>294</v>
      </c>
      <c r="D19" s="2" t="s">
        <v>294</v>
      </c>
      <c r="E19" s="2" t="s">
        <v>295</v>
      </c>
      <c r="F19" s="2" t="s">
        <v>254</v>
      </c>
      <c r="G19">
        <v>13</v>
      </c>
      <c r="H19" s="3"/>
      <c r="I19" s="3">
        <v>46069.755208333336</v>
      </c>
    </row>
    <row r="20" spans="1:9" x14ac:dyDescent="0.25">
      <c r="A20">
        <v>45</v>
      </c>
      <c r="B20" s="2" t="s">
        <v>296</v>
      </c>
      <c r="C20" s="2" t="s">
        <v>297</v>
      </c>
      <c r="D20" s="2" t="s">
        <v>297</v>
      </c>
      <c r="E20" s="2" t="s">
        <v>298</v>
      </c>
      <c r="F20" s="2" t="s">
        <v>254</v>
      </c>
      <c r="G20">
        <v>14</v>
      </c>
      <c r="H20" s="3"/>
      <c r="I20" s="3">
        <v>46069.755208333336</v>
      </c>
    </row>
    <row r="21" spans="1:9" x14ac:dyDescent="0.25">
      <c r="A21">
        <v>46</v>
      </c>
      <c r="B21" s="2" t="s">
        <v>299</v>
      </c>
      <c r="C21" s="2" t="s">
        <v>300</v>
      </c>
      <c r="D21" s="2" t="s">
        <v>300</v>
      </c>
      <c r="E21" s="2" t="s">
        <v>301</v>
      </c>
      <c r="F21" s="2" t="s">
        <v>254</v>
      </c>
      <c r="G21">
        <v>15</v>
      </c>
      <c r="H21" s="3"/>
      <c r="I21" s="3">
        <v>46069.755208333336</v>
      </c>
    </row>
    <row r="22" spans="1:9" x14ac:dyDescent="0.25">
      <c r="A22">
        <v>47</v>
      </c>
      <c r="B22" s="2" t="s">
        <v>302</v>
      </c>
      <c r="C22" s="2" t="s">
        <v>303</v>
      </c>
      <c r="D22" s="2" t="s">
        <v>303</v>
      </c>
      <c r="E22" s="2" t="s">
        <v>304</v>
      </c>
      <c r="F22" s="2" t="s">
        <v>254</v>
      </c>
      <c r="G22">
        <v>16</v>
      </c>
      <c r="H22" s="3"/>
      <c r="I22" s="3">
        <v>46069.755208333336</v>
      </c>
    </row>
    <row r="23" spans="1:9" x14ac:dyDescent="0.25">
      <c r="A23">
        <v>48</v>
      </c>
      <c r="B23" s="2" t="s">
        <v>305</v>
      </c>
      <c r="C23" s="2" t="s">
        <v>306</v>
      </c>
      <c r="D23" s="2" t="s">
        <v>306</v>
      </c>
      <c r="E23" s="2" t="s">
        <v>307</v>
      </c>
      <c r="F23" s="2" t="s">
        <v>254</v>
      </c>
      <c r="G23">
        <v>17</v>
      </c>
      <c r="H23" s="3"/>
      <c r="I23" s="3">
        <v>46069.755208333336</v>
      </c>
    </row>
    <row r="24" spans="1:9" x14ac:dyDescent="0.25">
      <c r="A24">
        <v>49</v>
      </c>
      <c r="B24" s="2" t="s">
        <v>308</v>
      </c>
      <c r="C24" s="2" t="s">
        <v>309</v>
      </c>
      <c r="D24" s="2" t="s">
        <v>309</v>
      </c>
      <c r="E24" s="2" t="s">
        <v>310</v>
      </c>
      <c r="F24" s="2" t="s">
        <v>254</v>
      </c>
      <c r="G24">
        <v>18</v>
      </c>
      <c r="H24" s="3"/>
      <c r="I24" s="3">
        <v>46069.755208333336</v>
      </c>
    </row>
    <row r="25" spans="1:9" x14ac:dyDescent="0.25">
      <c r="A25">
        <v>50</v>
      </c>
      <c r="B25" s="2" t="s">
        <v>311</v>
      </c>
      <c r="C25" s="2" t="s">
        <v>312</v>
      </c>
      <c r="D25" s="2" t="s">
        <v>312</v>
      </c>
      <c r="E25" s="2" t="s">
        <v>313</v>
      </c>
      <c r="F25" s="2" t="s">
        <v>254</v>
      </c>
      <c r="G25">
        <v>19</v>
      </c>
      <c r="H25" s="3"/>
      <c r="I25" s="3">
        <v>46069.755219907405</v>
      </c>
    </row>
    <row r="26" spans="1:9" x14ac:dyDescent="0.25">
      <c r="A26">
        <v>51</v>
      </c>
      <c r="B26" s="2" t="s">
        <v>314</v>
      </c>
      <c r="C26" s="2" t="s">
        <v>315</v>
      </c>
      <c r="D26" s="2" t="s">
        <v>315</v>
      </c>
      <c r="E26" s="2" t="s">
        <v>316</v>
      </c>
      <c r="F26" s="2" t="s">
        <v>254</v>
      </c>
      <c r="G26">
        <v>20</v>
      </c>
      <c r="H26" s="3"/>
      <c r="I26" s="3">
        <v>46069.755219907405</v>
      </c>
    </row>
    <row r="27" spans="1:9" x14ac:dyDescent="0.25">
      <c r="A27">
        <v>52</v>
      </c>
      <c r="B27" s="2" t="s">
        <v>317</v>
      </c>
      <c r="C27" s="2" t="s">
        <v>318</v>
      </c>
      <c r="D27" s="2" t="s">
        <v>318</v>
      </c>
      <c r="E27" s="2" t="s">
        <v>319</v>
      </c>
      <c r="F27" s="2" t="s">
        <v>254</v>
      </c>
      <c r="G27">
        <v>21</v>
      </c>
      <c r="H27" s="3"/>
      <c r="I27" s="3">
        <v>46069.755219907405</v>
      </c>
    </row>
    <row r="28" spans="1:9" x14ac:dyDescent="0.25">
      <c r="A28">
        <v>53</v>
      </c>
      <c r="B28" s="2" t="s">
        <v>320</v>
      </c>
      <c r="C28" s="2" t="s">
        <v>321</v>
      </c>
      <c r="D28" s="2" t="s">
        <v>321</v>
      </c>
      <c r="E28" s="2" t="s">
        <v>322</v>
      </c>
      <c r="F28" s="2" t="s">
        <v>254</v>
      </c>
      <c r="G28">
        <v>22</v>
      </c>
      <c r="H28" s="3"/>
      <c r="I28" s="3">
        <v>46069.755219907405</v>
      </c>
    </row>
    <row r="29" spans="1:9" x14ac:dyDescent="0.25">
      <c r="A29">
        <v>54</v>
      </c>
      <c r="B29" s="2" t="s">
        <v>323</v>
      </c>
      <c r="C29" s="2" t="s">
        <v>324</v>
      </c>
      <c r="D29" s="2" t="s">
        <v>324</v>
      </c>
      <c r="E29" s="2" t="s">
        <v>325</v>
      </c>
      <c r="F29" s="2" t="s">
        <v>254</v>
      </c>
      <c r="G29">
        <v>23</v>
      </c>
      <c r="H29" s="3"/>
      <c r="I29" s="3">
        <v>46069.755219907405</v>
      </c>
    </row>
    <row r="30" spans="1:9" x14ac:dyDescent="0.25">
      <c r="A30">
        <v>55</v>
      </c>
      <c r="B30" s="2" t="s">
        <v>326</v>
      </c>
      <c r="C30" s="2" t="s">
        <v>327</v>
      </c>
      <c r="D30" s="2" t="s">
        <v>327</v>
      </c>
      <c r="E30" s="2" t="s">
        <v>328</v>
      </c>
      <c r="F30" s="2" t="s">
        <v>254</v>
      </c>
      <c r="G30">
        <v>24</v>
      </c>
      <c r="H30" s="3"/>
      <c r="I30" s="3">
        <v>46069.755219907405</v>
      </c>
    </row>
    <row r="31" spans="1:9" x14ac:dyDescent="0.25">
      <c r="A31">
        <v>56</v>
      </c>
      <c r="B31" s="2" t="s">
        <v>329</v>
      </c>
      <c r="C31" s="2" t="s">
        <v>330</v>
      </c>
      <c r="D31" s="2" t="s">
        <v>330</v>
      </c>
      <c r="E31" s="2" t="s">
        <v>331</v>
      </c>
      <c r="F31" s="2" t="s">
        <v>254</v>
      </c>
      <c r="G31">
        <v>25</v>
      </c>
      <c r="H31" s="3"/>
      <c r="I31" s="3">
        <v>46069.755219907405</v>
      </c>
    </row>
    <row r="32" spans="1:9" x14ac:dyDescent="0.25">
      <c r="A32">
        <v>57</v>
      </c>
      <c r="B32" s="2" t="s">
        <v>332</v>
      </c>
      <c r="C32" s="2" t="s">
        <v>333</v>
      </c>
      <c r="D32" s="2" t="s">
        <v>333</v>
      </c>
      <c r="E32" s="2" t="s">
        <v>334</v>
      </c>
      <c r="F32" s="2" t="s">
        <v>254</v>
      </c>
      <c r="G32">
        <v>26</v>
      </c>
      <c r="H32" s="3"/>
      <c r="I32" s="3">
        <v>46069.755219907405</v>
      </c>
    </row>
    <row r="33" spans="1:9" x14ac:dyDescent="0.25">
      <c r="A33">
        <v>58</v>
      </c>
      <c r="B33" s="2" t="s">
        <v>335</v>
      </c>
      <c r="C33" s="2" t="s">
        <v>336</v>
      </c>
      <c r="D33" s="2" t="s">
        <v>336</v>
      </c>
      <c r="E33" s="2" t="s">
        <v>337</v>
      </c>
      <c r="F33" s="2" t="s">
        <v>254</v>
      </c>
      <c r="G33">
        <v>27</v>
      </c>
      <c r="H33" s="3"/>
      <c r="I33" s="3">
        <v>46069.755219907405</v>
      </c>
    </row>
    <row r="34" spans="1:9" x14ac:dyDescent="0.25">
      <c r="A34">
        <v>59</v>
      </c>
      <c r="B34" s="2" t="s">
        <v>338</v>
      </c>
      <c r="C34" s="2" t="s">
        <v>339</v>
      </c>
      <c r="D34" s="2" t="s">
        <v>339</v>
      </c>
      <c r="E34" s="2" t="s">
        <v>340</v>
      </c>
      <c r="F34" s="2" t="s">
        <v>254</v>
      </c>
      <c r="G34">
        <v>28</v>
      </c>
      <c r="H34" s="3"/>
      <c r="I34" s="3">
        <v>46069.755219907405</v>
      </c>
    </row>
    <row r="35" spans="1:9" x14ac:dyDescent="0.25">
      <c r="A35">
        <v>60</v>
      </c>
      <c r="B35" s="2" t="s">
        <v>341</v>
      </c>
      <c r="C35" s="2" t="s">
        <v>342</v>
      </c>
      <c r="D35" s="2" t="s">
        <v>342</v>
      </c>
      <c r="E35" s="2" t="s">
        <v>343</v>
      </c>
      <c r="F35" s="2" t="s">
        <v>254</v>
      </c>
      <c r="G35">
        <v>29</v>
      </c>
      <c r="H35" s="3"/>
      <c r="I35" s="3">
        <v>46069.755219907405</v>
      </c>
    </row>
    <row r="36" spans="1:9" x14ac:dyDescent="0.25">
      <c r="A36">
        <v>61</v>
      </c>
      <c r="B36" s="2" t="s">
        <v>344</v>
      </c>
      <c r="C36" s="2" t="s">
        <v>345</v>
      </c>
      <c r="D36" s="2" t="s">
        <v>345</v>
      </c>
      <c r="E36" s="2" t="s">
        <v>346</v>
      </c>
      <c r="F36" s="2" t="s">
        <v>254</v>
      </c>
      <c r="G36">
        <v>30</v>
      </c>
      <c r="H36" s="3"/>
      <c r="I36" s="3">
        <v>46069.755219907405</v>
      </c>
    </row>
    <row r="37" spans="1:9" x14ac:dyDescent="0.25">
      <c r="A37">
        <v>62</v>
      </c>
      <c r="B37" s="2" t="s">
        <v>347</v>
      </c>
      <c r="C37" s="2" t="s">
        <v>348</v>
      </c>
      <c r="D37" s="2" t="s">
        <v>348</v>
      </c>
      <c r="E37" s="2" t="s">
        <v>349</v>
      </c>
      <c r="F37" s="2" t="s">
        <v>254</v>
      </c>
      <c r="G37">
        <v>31</v>
      </c>
      <c r="H37" s="3"/>
      <c r="I37" s="3">
        <v>46069.755219907405</v>
      </c>
    </row>
    <row r="38" spans="1:9" x14ac:dyDescent="0.25">
      <c r="A38">
        <v>63</v>
      </c>
      <c r="B38" s="2" t="s">
        <v>350</v>
      </c>
      <c r="C38" s="2" t="s">
        <v>351</v>
      </c>
      <c r="D38" s="2" t="s">
        <v>351</v>
      </c>
      <c r="E38" s="2" t="s">
        <v>352</v>
      </c>
      <c r="F38" s="2" t="s">
        <v>254</v>
      </c>
      <c r="G38">
        <v>32</v>
      </c>
      <c r="H38" s="3"/>
      <c r="I38" s="3">
        <v>46069.755219907405</v>
      </c>
    </row>
    <row r="39" spans="1:9" x14ac:dyDescent="0.25">
      <c r="A39">
        <v>64</v>
      </c>
      <c r="B39" s="2" t="s">
        <v>278</v>
      </c>
      <c r="C39" s="2" t="s">
        <v>353</v>
      </c>
      <c r="D39" s="2" t="s">
        <v>353</v>
      </c>
      <c r="E39" s="2" t="s">
        <v>354</v>
      </c>
      <c r="F39" s="2" t="s">
        <v>254</v>
      </c>
      <c r="G39">
        <v>33</v>
      </c>
      <c r="H39" s="3"/>
      <c r="I39" s="3">
        <v>46069.755219907405</v>
      </c>
    </row>
    <row r="40" spans="1:9" x14ac:dyDescent="0.25">
      <c r="A40">
        <v>65</v>
      </c>
      <c r="B40" s="2" t="s">
        <v>355</v>
      </c>
      <c r="C40" s="2" t="s">
        <v>356</v>
      </c>
      <c r="D40" s="2" t="s">
        <v>356</v>
      </c>
      <c r="E40" s="2" t="s">
        <v>357</v>
      </c>
      <c r="F40" s="2" t="s">
        <v>254</v>
      </c>
      <c r="G40">
        <v>34</v>
      </c>
      <c r="H40" s="3"/>
      <c r="I40" s="3">
        <v>46069.755219907405</v>
      </c>
    </row>
    <row r="41" spans="1:9" x14ac:dyDescent="0.25">
      <c r="A41">
        <v>66</v>
      </c>
      <c r="B41" s="2" t="s">
        <v>358</v>
      </c>
      <c r="C41" s="2" t="s">
        <v>359</v>
      </c>
      <c r="D41" s="2" t="s">
        <v>359</v>
      </c>
      <c r="E41" s="2" t="s">
        <v>360</v>
      </c>
      <c r="F41" s="2" t="s">
        <v>254</v>
      </c>
      <c r="G41">
        <v>35</v>
      </c>
      <c r="H41" s="3"/>
      <c r="I41" s="3">
        <v>46069.755219907405</v>
      </c>
    </row>
    <row r="42" spans="1:9" x14ac:dyDescent="0.25">
      <c r="A42">
        <v>67</v>
      </c>
      <c r="B42" s="2" t="s">
        <v>361</v>
      </c>
      <c r="C42" s="2" t="s">
        <v>362</v>
      </c>
      <c r="D42" s="2" t="s">
        <v>362</v>
      </c>
      <c r="E42" s="2" t="s">
        <v>363</v>
      </c>
      <c r="F42" s="2" t="s">
        <v>254</v>
      </c>
      <c r="G42">
        <v>36</v>
      </c>
      <c r="H42" s="3"/>
      <c r="I42" s="3">
        <v>46069.755219907405</v>
      </c>
    </row>
    <row r="43" spans="1:9" x14ac:dyDescent="0.25">
      <c r="A43">
        <v>68</v>
      </c>
      <c r="B43" s="2" t="s">
        <v>364</v>
      </c>
      <c r="C43" s="2" t="s">
        <v>365</v>
      </c>
      <c r="D43" s="2" t="s">
        <v>365</v>
      </c>
      <c r="E43" s="2" t="s">
        <v>366</v>
      </c>
      <c r="F43" s="2" t="s">
        <v>254</v>
      </c>
      <c r="G43">
        <v>37</v>
      </c>
      <c r="H43" s="3"/>
      <c r="I43" s="3">
        <v>46069.755219907405</v>
      </c>
    </row>
    <row r="44" spans="1:9" x14ac:dyDescent="0.25">
      <c r="A44">
        <v>69</v>
      </c>
      <c r="B44" s="2" t="s">
        <v>367</v>
      </c>
      <c r="C44" s="2" t="s">
        <v>368</v>
      </c>
      <c r="D44" s="2" t="s">
        <v>368</v>
      </c>
      <c r="E44" s="2" t="s">
        <v>369</v>
      </c>
      <c r="F44" s="2" t="s">
        <v>254</v>
      </c>
      <c r="G44">
        <v>38</v>
      </c>
      <c r="H44" s="3"/>
      <c r="I44" s="3">
        <v>46069.755219907405</v>
      </c>
    </row>
    <row r="45" spans="1:9" x14ac:dyDescent="0.25">
      <c r="A45">
        <v>70</v>
      </c>
      <c r="B45" s="2" t="s">
        <v>370</v>
      </c>
      <c r="C45" s="2" t="s">
        <v>371</v>
      </c>
      <c r="D45" s="2" t="s">
        <v>371</v>
      </c>
      <c r="E45" s="2" t="s">
        <v>372</v>
      </c>
      <c r="F45" s="2" t="s">
        <v>254</v>
      </c>
      <c r="G45">
        <v>39</v>
      </c>
      <c r="H45" s="3"/>
      <c r="I45" s="3">
        <v>46069.755231481482</v>
      </c>
    </row>
    <row r="46" spans="1:9" x14ac:dyDescent="0.25">
      <c r="A46">
        <v>71</v>
      </c>
      <c r="B46" s="2" t="s">
        <v>272</v>
      </c>
      <c r="C46" s="2" t="s">
        <v>373</v>
      </c>
      <c r="D46" s="2" t="s">
        <v>373</v>
      </c>
      <c r="E46" s="2" t="s">
        <v>374</v>
      </c>
      <c r="F46" s="2" t="s">
        <v>254</v>
      </c>
      <c r="G46">
        <v>40</v>
      </c>
      <c r="H46" s="3"/>
      <c r="I46" s="3">
        <v>46069.755231481482</v>
      </c>
    </row>
    <row r="47" spans="1:9" x14ac:dyDescent="0.25">
      <c r="A47">
        <v>72</v>
      </c>
      <c r="B47" s="2" t="s">
        <v>375</v>
      </c>
      <c r="C47" s="2" t="s">
        <v>376</v>
      </c>
      <c r="D47" s="2" t="s">
        <v>376</v>
      </c>
      <c r="E47" s="2" t="s">
        <v>377</v>
      </c>
      <c r="F47" s="2" t="s">
        <v>254</v>
      </c>
      <c r="G47">
        <v>41</v>
      </c>
      <c r="H47" s="3"/>
      <c r="I47" s="3">
        <v>46069.755231481482</v>
      </c>
    </row>
    <row r="48" spans="1:9" x14ac:dyDescent="0.25">
      <c r="A48">
        <v>73</v>
      </c>
      <c r="B48" s="2" t="s">
        <v>378</v>
      </c>
      <c r="C48" s="2" t="s">
        <v>379</v>
      </c>
      <c r="D48" s="2" t="s">
        <v>379</v>
      </c>
      <c r="E48" s="2" t="s">
        <v>380</v>
      </c>
      <c r="F48" s="2" t="s">
        <v>254</v>
      </c>
      <c r="G48">
        <v>42</v>
      </c>
      <c r="H48" s="3"/>
      <c r="I48" s="3">
        <v>46069.755231481482</v>
      </c>
    </row>
    <row r="49" spans="1:9" x14ac:dyDescent="0.25">
      <c r="A49">
        <v>74</v>
      </c>
      <c r="B49" s="2" t="s">
        <v>381</v>
      </c>
      <c r="C49" s="2" t="s">
        <v>382</v>
      </c>
      <c r="D49" s="2" t="s">
        <v>382</v>
      </c>
      <c r="E49" s="2" t="s">
        <v>383</v>
      </c>
      <c r="F49" s="2" t="s">
        <v>254</v>
      </c>
      <c r="G49">
        <v>43</v>
      </c>
      <c r="H49" s="3"/>
      <c r="I49" s="3">
        <v>46069.755231481482</v>
      </c>
    </row>
    <row r="50" spans="1:9" x14ac:dyDescent="0.25">
      <c r="A50">
        <v>75</v>
      </c>
      <c r="B50" s="2" t="s">
        <v>381</v>
      </c>
      <c r="C50" s="2" t="s">
        <v>384</v>
      </c>
      <c r="D50" s="2" t="s">
        <v>384</v>
      </c>
      <c r="E50" s="2" t="s">
        <v>385</v>
      </c>
      <c r="F50" s="2" t="s">
        <v>254</v>
      </c>
      <c r="G50">
        <v>44</v>
      </c>
      <c r="H50" s="3"/>
      <c r="I50" s="3">
        <v>46069.755231481482</v>
      </c>
    </row>
    <row r="51" spans="1:9" x14ac:dyDescent="0.25">
      <c r="A51">
        <v>76</v>
      </c>
      <c r="B51" s="2" t="s">
        <v>386</v>
      </c>
      <c r="C51" s="2" t="s">
        <v>387</v>
      </c>
      <c r="D51" s="2" t="s">
        <v>387</v>
      </c>
      <c r="E51" s="2" t="s">
        <v>388</v>
      </c>
      <c r="F51" s="2" t="s">
        <v>254</v>
      </c>
      <c r="G51">
        <v>45</v>
      </c>
      <c r="H51" s="3"/>
      <c r="I51" s="3">
        <v>46069.755231481482</v>
      </c>
    </row>
    <row r="52" spans="1:9" x14ac:dyDescent="0.25">
      <c r="A52">
        <v>77</v>
      </c>
      <c r="B52" s="2" t="s">
        <v>389</v>
      </c>
      <c r="C52" s="2" t="s">
        <v>390</v>
      </c>
      <c r="D52" s="2" t="s">
        <v>390</v>
      </c>
      <c r="E52" s="2" t="s">
        <v>391</v>
      </c>
      <c r="F52" s="2" t="s">
        <v>254</v>
      </c>
      <c r="G52">
        <v>46</v>
      </c>
      <c r="H52" s="3"/>
      <c r="I52" s="3">
        <v>46069.755231481482</v>
      </c>
    </row>
    <row r="53" spans="1:9" x14ac:dyDescent="0.25">
      <c r="A53">
        <v>78</v>
      </c>
      <c r="B53" s="2" t="s">
        <v>392</v>
      </c>
      <c r="C53" s="2" t="s">
        <v>393</v>
      </c>
      <c r="D53" s="2" t="s">
        <v>393</v>
      </c>
      <c r="E53" s="2" t="s">
        <v>394</v>
      </c>
      <c r="F53" s="2" t="s">
        <v>254</v>
      </c>
      <c r="G53">
        <v>47</v>
      </c>
      <c r="H53" s="3"/>
      <c r="I53" s="3">
        <v>46069.755231481482</v>
      </c>
    </row>
    <row r="54" spans="1:9" x14ac:dyDescent="0.25">
      <c r="A54">
        <v>79</v>
      </c>
      <c r="B54" s="2" t="s">
        <v>395</v>
      </c>
      <c r="C54" s="2" t="s">
        <v>396</v>
      </c>
      <c r="D54" s="2" t="s">
        <v>396</v>
      </c>
      <c r="E54" s="2" t="s">
        <v>397</v>
      </c>
      <c r="F54" s="2" t="s">
        <v>254</v>
      </c>
      <c r="G54">
        <v>48</v>
      </c>
      <c r="H54" s="3"/>
      <c r="I54" s="3">
        <v>46069.755231481482</v>
      </c>
    </row>
    <row r="55" spans="1:9" x14ac:dyDescent="0.25">
      <c r="A55">
        <v>80</v>
      </c>
      <c r="B55" s="2" t="s">
        <v>370</v>
      </c>
      <c r="C55" s="2" t="s">
        <v>398</v>
      </c>
      <c r="D55" s="2" t="s">
        <v>398</v>
      </c>
      <c r="E55" s="2" t="s">
        <v>399</v>
      </c>
      <c r="F55" s="2" t="s">
        <v>254</v>
      </c>
      <c r="G55">
        <v>49</v>
      </c>
      <c r="H55" s="3"/>
      <c r="I55" s="3">
        <v>46069.755231481482</v>
      </c>
    </row>
    <row r="56" spans="1:9" x14ac:dyDescent="0.25">
      <c r="A56">
        <v>81</v>
      </c>
      <c r="B56" s="2" t="s">
        <v>400</v>
      </c>
      <c r="C56" s="2" t="s">
        <v>401</v>
      </c>
      <c r="D56" s="2" t="s">
        <v>401</v>
      </c>
      <c r="E56" s="2" t="s">
        <v>402</v>
      </c>
      <c r="F56" s="2" t="s">
        <v>254</v>
      </c>
      <c r="G56">
        <v>50</v>
      </c>
      <c r="H56" s="3"/>
      <c r="I56" s="3">
        <v>46069.755231481482</v>
      </c>
    </row>
    <row r="57" spans="1:9" x14ac:dyDescent="0.25">
      <c r="A57">
        <v>82</v>
      </c>
      <c r="B57" s="2" t="s">
        <v>370</v>
      </c>
      <c r="C57" s="2" t="s">
        <v>403</v>
      </c>
      <c r="D57" s="2" t="s">
        <v>403</v>
      </c>
      <c r="E57" s="2" t="s">
        <v>404</v>
      </c>
      <c r="F57" s="2" t="s">
        <v>254</v>
      </c>
      <c r="G57">
        <v>51</v>
      </c>
      <c r="H57" s="3"/>
      <c r="I57" s="3">
        <v>46069.755231481482</v>
      </c>
    </row>
    <row r="58" spans="1:9" x14ac:dyDescent="0.25">
      <c r="A58">
        <v>83</v>
      </c>
      <c r="B58" s="2" t="s">
        <v>405</v>
      </c>
      <c r="C58" s="2" t="s">
        <v>406</v>
      </c>
      <c r="D58" s="2" t="s">
        <v>406</v>
      </c>
      <c r="E58" s="2" t="s">
        <v>407</v>
      </c>
      <c r="F58" s="2" t="s">
        <v>254</v>
      </c>
      <c r="G58">
        <v>52</v>
      </c>
      <c r="H58" s="3"/>
      <c r="I58" s="3">
        <v>46069.755231481482</v>
      </c>
    </row>
    <row r="59" spans="1:9" x14ac:dyDescent="0.25">
      <c r="A59">
        <v>84</v>
      </c>
      <c r="B59" s="2" t="s">
        <v>358</v>
      </c>
      <c r="C59" s="2" t="s">
        <v>408</v>
      </c>
      <c r="D59" s="2" t="s">
        <v>408</v>
      </c>
      <c r="E59" s="2" t="s">
        <v>409</v>
      </c>
      <c r="F59" s="2" t="s">
        <v>254</v>
      </c>
      <c r="G59">
        <v>53</v>
      </c>
      <c r="H59" s="3">
        <v>46069.771782407406</v>
      </c>
      <c r="I59" s="3">
        <v>46069.755231481482</v>
      </c>
    </row>
    <row r="60" spans="1:9" x14ac:dyDescent="0.25">
      <c r="A60">
        <v>85</v>
      </c>
      <c r="B60" s="2" t="s">
        <v>410</v>
      </c>
      <c r="C60" s="2" t="s">
        <v>411</v>
      </c>
      <c r="D60" s="2" t="s">
        <v>411</v>
      </c>
      <c r="E60" s="2" t="s">
        <v>412</v>
      </c>
      <c r="F60" s="2" t="s">
        <v>254</v>
      </c>
      <c r="G60">
        <v>54</v>
      </c>
      <c r="H60" s="3"/>
      <c r="I60" s="3">
        <v>46069.755231481482</v>
      </c>
    </row>
    <row r="61" spans="1:9" x14ac:dyDescent="0.25">
      <c r="A61">
        <v>86</v>
      </c>
      <c r="B61" s="2" t="s">
        <v>287</v>
      </c>
      <c r="C61" s="2" t="s">
        <v>413</v>
      </c>
      <c r="D61" s="2" t="s">
        <v>413</v>
      </c>
      <c r="E61" s="2" t="s">
        <v>414</v>
      </c>
      <c r="F61" s="2" t="s">
        <v>254</v>
      </c>
      <c r="G61">
        <v>55</v>
      </c>
      <c r="H61" s="3"/>
      <c r="I61" s="3">
        <v>46069.755231481482</v>
      </c>
    </row>
    <row r="62" spans="1:9" x14ac:dyDescent="0.25">
      <c r="A62">
        <v>87</v>
      </c>
      <c r="B62" s="2" t="s">
        <v>415</v>
      </c>
      <c r="C62" s="2" t="s">
        <v>416</v>
      </c>
      <c r="D62" s="2" t="s">
        <v>416</v>
      </c>
      <c r="E62" s="2" t="s">
        <v>417</v>
      </c>
      <c r="F62" s="2" t="s">
        <v>254</v>
      </c>
      <c r="G62">
        <v>56</v>
      </c>
      <c r="H62" s="3"/>
      <c r="I62" s="3">
        <v>46069.755231481482</v>
      </c>
    </row>
    <row r="63" spans="1:9" x14ac:dyDescent="0.25">
      <c r="A63">
        <v>88</v>
      </c>
      <c r="B63" s="2" t="s">
        <v>266</v>
      </c>
      <c r="C63" s="2" t="s">
        <v>418</v>
      </c>
      <c r="D63" s="2" t="s">
        <v>418</v>
      </c>
      <c r="E63" s="2" t="s">
        <v>419</v>
      </c>
      <c r="F63" s="2" t="s">
        <v>254</v>
      </c>
      <c r="G63">
        <v>57</v>
      </c>
      <c r="H63" s="3"/>
      <c r="I63" s="3">
        <v>46069.755231481482</v>
      </c>
    </row>
    <row r="64" spans="1:9" x14ac:dyDescent="0.25">
      <c r="A64">
        <v>89</v>
      </c>
      <c r="B64" s="2" t="s">
        <v>420</v>
      </c>
      <c r="C64" s="2" t="s">
        <v>421</v>
      </c>
      <c r="D64" s="2" t="s">
        <v>421</v>
      </c>
      <c r="E64" s="2" t="s">
        <v>422</v>
      </c>
      <c r="F64" s="2" t="s">
        <v>254</v>
      </c>
      <c r="G64">
        <v>58</v>
      </c>
      <c r="H64" s="3"/>
      <c r="I64" s="3">
        <v>46069.755231481482</v>
      </c>
    </row>
    <row r="65" spans="1:9" x14ac:dyDescent="0.25">
      <c r="A65">
        <v>90</v>
      </c>
      <c r="B65" s="2" t="s">
        <v>423</v>
      </c>
      <c r="C65" s="2" t="s">
        <v>424</v>
      </c>
      <c r="D65" s="2" t="s">
        <v>424</v>
      </c>
      <c r="E65" s="2" t="s">
        <v>425</v>
      </c>
      <c r="F65" s="2" t="s">
        <v>254</v>
      </c>
      <c r="G65">
        <v>59</v>
      </c>
      <c r="H65" s="3"/>
      <c r="I65" s="3">
        <v>46069.755243055559</v>
      </c>
    </row>
    <row r="66" spans="1:9" x14ac:dyDescent="0.25">
      <c r="A66">
        <v>91</v>
      </c>
      <c r="B66" s="2" t="s">
        <v>426</v>
      </c>
      <c r="C66" s="2" t="s">
        <v>427</v>
      </c>
      <c r="D66" s="2" t="s">
        <v>427</v>
      </c>
      <c r="E66" s="2" t="s">
        <v>428</v>
      </c>
      <c r="F66" s="2" t="s">
        <v>254</v>
      </c>
      <c r="G66">
        <v>60</v>
      </c>
      <c r="H66" s="3"/>
      <c r="I66" s="3">
        <v>46069.755243055559</v>
      </c>
    </row>
    <row r="67" spans="1:9" x14ac:dyDescent="0.25">
      <c r="A67">
        <v>92</v>
      </c>
      <c r="B67" s="2" t="s">
        <v>429</v>
      </c>
      <c r="C67" s="2" t="s">
        <v>430</v>
      </c>
      <c r="D67" s="2" t="s">
        <v>430</v>
      </c>
      <c r="E67" s="2" t="s">
        <v>431</v>
      </c>
      <c r="F67" s="2" t="s">
        <v>254</v>
      </c>
      <c r="G67">
        <v>61</v>
      </c>
      <c r="H67" s="3"/>
      <c r="I67" s="3">
        <v>46069.755243055559</v>
      </c>
    </row>
    <row r="68" spans="1:9" x14ac:dyDescent="0.25">
      <c r="A68">
        <v>93</v>
      </c>
      <c r="B68" s="2" t="s">
        <v>432</v>
      </c>
      <c r="C68" s="2" t="s">
        <v>433</v>
      </c>
      <c r="D68" s="2" t="s">
        <v>433</v>
      </c>
      <c r="E68" s="2" t="s">
        <v>434</v>
      </c>
      <c r="F68" s="2" t="s">
        <v>254</v>
      </c>
      <c r="G68">
        <v>62</v>
      </c>
      <c r="H68" s="3"/>
      <c r="I68" s="3">
        <v>46069.755243055559</v>
      </c>
    </row>
    <row r="69" spans="1:9" x14ac:dyDescent="0.25">
      <c r="A69">
        <v>94</v>
      </c>
      <c r="B69" s="2" t="s">
        <v>435</v>
      </c>
      <c r="C69" s="2" t="s">
        <v>436</v>
      </c>
      <c r="D69" s="2" t="s">
        <v>436</v>
      </c>
      <c r="E69" s="2" t="s">
        <v>437</v>
      </c>
      <c r="F69" s="2" t="s">
        <v>254</v>
      </c>
      <c r="G69">
        <v>63</v>
      </c>
      <c r="H69" s="3"/>
      <c r="I69" s="3">
        <v>46069.755243055559</v>
      </c>
    </row>
    <row r="70" spans="1:9" x14ac:dyDescent="0.25">
      <c r="A70">
        <v>95</v>
      </c>
      <c r="B70" s="2" t="s">
        <v>278</v>
      </c>
      <c r="C70" s="2" t="s">
        <v>438</v>
      </c>
      <c r="D70" s="2" t="s">
        <v>438</v>
      </c>
      <c r="E70" s="2" t="s">
        <v>439</v>
      </c>
      <c r="F70" s="2" t="s">
        <v>254</v>
      </c>
      <c r="G70">
        <v>64</v>
      </c>
      <c r="H70" s="3"/>
      <c r="I70" s="3">
        <v>46069.755243055559</v>
      </c>
    </row>
    <row r="71" spans="1:9" x14ac:dyDescent="0.25">
      <c r="A71">
        <v>96</v>
      </c>
      <c r="B71" s="2" t="s">
        <v>440</v>
      </c>
      <c r="C71" s="2" t="s">
        <v>441</v>
      </c>
      <c r="D71" s="2" t="s">
        <v>441</v>
      </c>
      <c r="E71" s="2" t="s">
        <v>442</v>
      </c>
      <c r="F71" s="2" t="s">
        <v>254</v>
      </c>
      <c r="G71">
        <v>65</v>
      </c>
      <c r="H71" s="3"/>
      <c r="I71" s="3">
        <v>46069.755243055559</v>
      </c>
    </row>
    <row r="72" spans="1:9" x14ac:dyDescent="0.25">
      <c r="A72">
        <v>97</v>
      </c>
      <c r="B72" s="2" t="s">
        <v>443</v>
      </c>
      <c r="C72" s="2" t="s">
        <v>444</v>
      </c>
      <c r="D72" s="2" t="s">
        <v>444</v>
      </c>
      <c r="E72" s="2" t="s">
        <v>445</v>
      </c>
      <c r="F72" s="2" t="s">
        <v>254</v>
      </c>
      <c r="G72">
        <v>66</v>
      </c>
      <c r="H72" s="3"/>
      <c r="I72" s="3">
        <v>46069.755243055559</v>
      </c>
    </row>
    <row r="73" spans="1:9" x14ac:dyDescent="0.25">
      <c r="A73">
        <v>98</v>
      </c>
      <c r="B73" s="2" t="s">
        <v>446</v>
      </c>
      <c r="C73" s="2" t="s">
        <v>447</v>
      </c>
      <c r="D73" s="2" t="s">
        <v>447</v>
      </c>
      <c r="E73" s="2" t="s">
        <v>448</v>
      </c>
      <c r="F73" s="2" t="s">
        <v>254</v>
      </c>
      <c r="G73">
        <v>67</v>
      </c>
      <c r="H73" s="3"/>
      <c r="I73" s="3">
        <v>46069.755243055559</v>
      </c>
    </row>
    <row r="74" spans="1:9" x14ac:dyDescent="0.25">
      <c r="A74">
        <v>99</v>
      </c>
      <c r="B74" s="2" t="s">
        <v>449</v>
      </c>
      <c r="C74" s="2" t="s">
        <v>450</v>
      </c>
      <c r="D74" s="2" t="s">
        <v>450</v>
      </c>
      <c r="E74" s="2" t="s">
        <v>451</v>
      </c>
      <c r="F74" s="2" t="s">
        <v>254</v>
      </c>
      <c r="G74">
        <v>68</v>
      </c>
      <c r="H74" s="3"/>
      <c r="I74" s="3">
        <v>46069.755243055559</v>
      </c>
    </row>
    <row r="75" spans="1:9" x14ac:dyDescent="0.25">
      <c r="A75">
        <v>100</v>
      </c>
      <c r="B75" s="2" t="s">
        <v>452</v>
      </c>
      <c r="C75" s="2" t="s">
        <v>453</v>
      </c>
      <c r="D75" s="2" t="s">
        <v>453</v>
      </c>
      <c r="E75" s="2" t="s">
        <v>454</v>
      </c>
      <c r="F75" s="2" t="s">
        <v>254</v>
      </c>
      <c r="G75">
        <v>69</v>
      </c>
      <c r="H75" s="3"/>
      <c r="I75" s="3">
        <v>46069.755243055559</v>
      </c>
    </row>
    <row r="76" spans="1:9" x14ac:dyDescent="0.25">
      <c r="A76">
        <v>101</v>
      </c>
      <c r="B76" s="2" t="s">
        <v>455</v>
      </c>
      <c r="C76" s="2" t="s">
        <v>456</v>
      </c>
      <c r="D76" s="2" t="s">
        <v>456</v>
      </c>
      <c r="E76" s="2" t="s">
        <v>457</v>
      </c>
      <c r="F76" s="2" t="s">
        <v>254</v>
      </c>
      <c r="G76">
        <v>70</v>
      </c>
      <c r="H76" s="3"/>
      <c r="I76" s="3">
        <v>46069.755243055559</v>
      </c>
    </row>
    <row r="77" spans="1:9" x14ac:dyDescent="0.25">
      <c r="A77">
        <v>102</v>
      </c>
      <c r="B77" s="2" t="s">
        <v>375</v>
      </c>
      <c r="C77" s="2" t="s">
        <v>458</v>
      </c>
      <c r="D77" s="2" t="s">
        <v>458</v>
      </c>
      <c r="E77" s="2" t="s">
        <v>459</v>
      </c>
      <c r="F77" s="2" t="s">
        <v>254</v>
      </c>
      <c r="G77">
        <v>71</v>
      </c>
      <c r="H77" s="3"/>
      <c r="I77" s="3">
        <v>46069.755243055559</v>
      </c>
    </row>
    <row r="78" spans="1:9" x14ac:dyDescent="0.25">
      <c r="A78">
        <v>103</v>
      </c>
      <c r="B78" s="2" t="s">
        <v>460</v>
      </c>
      <c r="C78" s="2" t="s">
        <v>461</v>
      </c>
      <c r="D78" s="2" t="s">
        <v>461</v>
      </c>
      <c r="E78" s="2" t="s">
        <v>462</v>
      </c>
      <c r="F78" s="2" t="s">
        <v>254</v>
      </c>
      <c r="G78">
        <v>72</v>
      </c>
      <c r="H78" s="3"/>
      <c r="I78" s="3">
        <v>46069.755243055559</v>
      </c>
    </row>
    <row r="79" spans="1:9" x14ac:dyDescent="0.25">
      <c r="A79">
        <v>104</v>
      </c>
      <c r="B79" s="2" t="s">
        <v>463</v>
      </c>
      <c r="C79" s="2" t="s">
        <v>464</v>
      </c>
      <c r="D79" s="2" t="s">
        <v>464</v>
      </c>
      <c r="E79" s="2" t="s">
        <v>465</v>
      </c>
      <c r="F79" s="2" t="s">
        <v>254</v>
      </c>
      <c r="G79">
        <v>73</v>
      </c>
      <c r="H79" s="3"/>
      <c r="I79" s="3">
        <v>46069.755243055559</v>
      </c>
    </row>
    <row r="80" spans="1:9" x14ac:dyDescent="0.25">
      <c r="A80">
        <v>105</v>
      </c>
      <c r="B80" s="2" t="s">
        <v>466</v>
      </c>
      <c r="C80" s="2" t="s">
        <v>467</v>
      </c>
      <c r="D80" s="2" t="s">
        <v>467</v>
      </c>
      <c r="E80" s="2" t="s">
        <v>468</v>
      </c>
      <c r="F80" s="2" t="s">
        <v>254</v>
      </c>
      <c r="G80">
        <v>74</v>
      </c>
      <c r="H80" s="3"/>
      <c r="I80" s="3">
        <v>46069.755243055559</v>
      </c>
    </row>
    <row r="81" spans="1:9" x14ac:dyDescent="0.25">
      <c r="A81">
        <v>106</v>
      </c>
      <c r="B81" s="2" t="s">
        <v>469</v>
      </c>
      <c r="C81" s="2" t="s">
        <v>470</v>
      </c>
      <c r="D81" s="2" t="s">
        <v>470</v>
      </c>
      <c r="E81" s="2" t="s">
        <v>471</v>
      </c>
      <c r="F81" s="2" t="s">
        <v>254</v>
      </c>
      <c r="G81">
        <v>75</v>
      </c>
      <c r="H81" s="3"/>
      <c r="I81" s="3">
        <v>46069.755243055559</v>
      </c>
    </row>
    <row r="82" spans="1:9" x14ac:dyDescent="0.25">
      <c r="A82">
        <v>107</v>
      </c>
      <c r="B82" s="2" t="s">
        <v>472</v>
      </c>
      <c r="C82" s="2" t="s">
        <v>473</v>
      </c>
      <c r="D82" s="2" t="s">
        <v>473</v>
      </c>
      <c r="E82" s="2" t="s">
        <v>474</v>
      </c>
      <c r="F82" s="2" t="s">
        <v>254</v>
      </c>
      <c r="G82">
        <v>76</v>
      </c>
      <c r="H82" s="3"/>
      <c r="I82" s="3">
        <v>46069.755243055559</v>
      </c>
    </row>
    <row r="83" spans="1:9" x14ac:dyDescent="0.25">
      <c r="A83">
        <v>108</v>
      </c>
      <c r="B83" s="2" t="s">
        <v>475</v>
      </c>
      <c r="C83" s="2" t="s">
        <v>476</v>
      </c>
      <c r="D83" s="2" t="s">
        <v>476</v>
      </c>
      <c r="E83" s="2" t="s">
        <v>477</v>
      </c>
      <c r="F83" s="2" t="s">
        <v>254</v>
      </c>
      <c r="G83">
        <v>77</v>
      </c>
      <c r="H83" s="3"/>
      <c r="I83" s="3">
        <v>46069.755243055559</v>
      </c>
    </row>
    <row r="84" spans="1:9" x14ac:dyDescent="0.25">
      <c r="A84">
        <v>421</v>
      </c>
      <c r="B84" s="2" t="s">
        <v>257</v>
      </c>
      <c r="C84" s="2" t="s">
        <v>30</v>
      </c>
      <c r="D84" s="2" t="s">
        <v>30</v>
      </c>
      <c r="E84" s="2" t="s">
        <v>478</v>
      </c>
      <c r="F84" s="2" t="s">
        <v>254</v>
      </c>
      <c r="G84">
        <v>1</v>
      </c>
      <c r="H84" s="3"/>
      <c r="I84" s="3">
        <v>46069.757638888892</v>
      </c>
    </row>
    <row r="85" spans="1:9" x14ac:dyDescent="0.25">
      <c r="A85">
        <v>422</v>
      </c>
      <c r="B85" s="2" t="s">
        <v>260</v>
      </c>
      <c r="C85" s="2" t="s">
        <v>34</v>
      </c>
      <c r="D85" s="2" t="s">
        <v>34</v>
      </c>
      <c r="E85" s="2" t="s">
        <v>479</v>
      </c>
      <c r="F85" s="2" t="s">
        <v>254</v>
      </c>
      <c r="G85">
        <v>2</v>
      </c>
      <c r="H85" s="3"/>
      <c r="I85" s="3">
        <v>46069.757638888892</v>
      </c>
    </row>
    <row r="86" spans="1:9" x14ac:dyDescent="0.25">
      <c r="A86">
        <v>423</v>
      </c>
      <c r="B86" s="2" t="s">
        <v>263</v>
      </c>
      <c r="C86" s="2" t="s">
        <v>480</v>
      </c>
      <c r="D86" s="2" t="s">
        <v>480</v>
      </c>
      <c r="E86" s="2" t="s">
        <v>481</v>
      </c>
      <c r="F86" s="2" t="s">
        <v>254</v>
      </c>
      <c r="G86">
        <v>3</v>
      </c>
      <c r="H86" s="3"/>
      <c r="I86" s="3">
        <v>46069.757638888892</v>
      </c>
    </row>
    <row r="87" spans="1:9" x14ac:dyDescent="0.25">
      <c r="A87">
        <v>424</v>
      </c>
      <c r="B87" s="2" t="s">
        <v>266</v>
      </c>
      <c r="C87" s="2" t="s">
        <v>482</v>
      </c>
      <c r="D87" s="2" t="s">
        <v>482</v>
      </c>
      <c r="E87" s="2" t="s">
        <v>483</v>
      </c>
      <c r="F87" s="2" t="s">
        <v>254</v>
      </c>
      <c r="G87">
        <v>4</v>
      </c>
      <c r="H87" s="3"/>
      <c r="I87" s="3">
        <v>46069.757638888892</v>
      </c>
    </row>
    <row r="88" spans="1:9" x14ac:dyDescent="0.25">
      <c r="A88">
        <v>425</v>
      </c>
      <c r="B88" s="2" t="s">
        <v>269</v>
      </c>
      <c r="C88" s="2" t="s">
        <v>484</v>
      </c>
      <c r="D88" s="2" t="s">
        <v>484</v>
      </c>
      <c r="E88" s="2" t="s">
        <v>485</v>
      </c>
      <c r="F88" s="2" t="s">
        <v>254</v>
      </c>
      <c r="G88">
        <v>5</v>
      </c>
      <c r="H88" s="3"/>
      <c r="I88" s="3">
        <v>46069.757638888892</v>
      </c>
    </row>
    <row r="89" spans="1:9" x14ac:dyDescent="0.25">
      <c r="A89">
        <v>426</v>
      </c>
      <c r="B89" s="2" t="s">
        <v>272</v>
      </c>
      <c r="C89" s="2" t="s">
        <v>486</v>
      </c>
      <c r="D89" s="2" t="s">
        <v>486</v>
      </c>
      <c r="E89" s="2" t="s">
        <v>487</v>
      </c>
      <c r="F89" s="2" t="s">
        <v>254</v>
      </c>
      <c r="G89">
        <v>6</v>
      </c>
      <c r="H89" s="3"/>
      <c r="I89" s="3">
        <v>46069.757638888892</v>
      </c>
    </row>
    <row r="90" spans="1:9" x14ac:dyDescent="0.25">
      <c r="A90">
        <v>427</v>
      </c>
      <c r="B90" s="2" t="s">
        <v>275</v>
      </c>
      <c r="C90" s="2" t="s">
        <v>488</v>
      </c>
      <c r="D90" s="2" t="s">
        <v>488</v>
      </c>
      <c r="E90" s="2" t="s">
        <v>489</v>
      </c>
      <c r="F90" s="2" t="s">
        <v>254</v>
      </c>
      <c r="G90">
        <v>7</v>
      </c>
      <c r="H90" s="3"/>
      <c r="I90" s="3">
        <v>46069.757638888892</v>
      </c>
    </row>
    <row r="91" spans="1:9" x14ac:dyDescent="0.25">
      <c r="A91">
        <v>428</v>
      </c>
      <c r="B91" s="2" t="s">
        <v>278</v>
      </c>
      <c r="C91" s="2" t="s">
        <v>490</v>
      </c>
      <c r="D91" s="2" t="s">
        <v>490</v>
      </c>
      <c r="E91" s="2" t="s">
        <v>491</v>
      </c>
      <c r="F91" s="2" t="s">
        <v>254</v>
      </c>
      <c r="G91">
        <v>8</v>
      </c>
      <c r="H91" s="3"/>
      <c r="I91" s="3">
        <v>46069.757638888892</v>
      </c>
    </row>
    <row r="92" spans="1:9" x14ac:dyDescent="0.25">
      <c r="A92">
        <v>429</v>
      </c>
      <c r="B92" s="2" t="s">
        <v>281</v>
      </c>
      <c r="C92" s="2" t="s">
        <v>492</v>
      </c>
      <c r="D92" s="2" t="s">
        <v>492</v>
      </c>
      <c r="E92" s="2" t="s">
        <v>493</v>
      </c>
      <c r="F92" s="2" t="s">
        <v>254</v>
      </c>
      <c r="G92">
        <v>9</v>
      </c>
      <c r="H92" s="3"/>
      <c r="I92" s="3">
        <v>46069.757638888892</v>
      </c>
    </row>
    <row r="93" spans="1:9" x14ac:dyDescent="0.25">
      <c r="A93">
        <v>430</v>
      </c>
      <c r="B93" s="2" t="s">
        <v>284</v>
      </c>
      <c r="C93" s="2" t="s">
        <v>494</v>
      </c>
      <c r="D93" s="2" t="s">
        <v>494</v>
      </c>
      <c r="E93" s="2" t="s">
        <v>495</v>
      </c>
      <c r="F93" s="2" t="s">
        <v>254</v>
      </c>
      <c r="G93">
        <v>10</v>
      </c>
      <c r="H93" s="3"/>
      <c r="I93" s="3">
        <v>46069.757638888892</v>
      </c>
    </row>
    <row r="94" spans="1:9" x14ac:dyDescent="0.25">
      <c r="A94">
        <v>431</v>
      </c>
      <c r="B94" s="2" t="s">
        <v>287</v>
      </c>
      <c r="C94" s="2" t="s">
        <v>496</v>
      </c>
      <c r="D94" s="2" t="s">
        <v>496</v>
      </c>
      <c r="E94" s="2" t="s">
        <v>497</v>
      </c>
      <c r="F94" s="2" t="s">
        <v>254</v>
      </c>
      <c r="G94">
        <v>11</v>
      </c>
      <c r="H94" s="3"/>
      <c r="I94" s="3">
        <v>46069.757638888892</v>
      </c>
    </row>
    <row r="95" spans="1:9" x14ac:dyDescent="0.25">
      <c r="A95">
        <v>432</v>
      </c>
      <c r="B95" s="2" t="s">
        <v>290</v>
      </c>
      <c r="C95" s="2" t="s">
        <v>498</v>
      </c>
      <c r="D95" s="2" t="s">
        <v>498</v>
      </c>
      <c r="E95" s="2" t="s">
        <v>499</v>
      </c>
      <c r="F95" s="2" t="s">
        <v>254</v>
      </c>
      <c r="G95">
        <v>12</v>
      </c>
      <c r="H95" s="3"/>
      <c r="I95" s="3">
        <v>46069.757638888892</v>
      </c>
    </row>
    <row r="96" spans="1:9" x14ac:dyDescent="0.25">
      <c r="A96">
        <v>433</v>
      </c>
      <c r="B96" s="2" t="s">
        <v>293</v>
      </c>
      <c r="C96" s="2" t="s">
        <v>500</v>
      </c>
      <c r="D96" s="2" t="s">
        <v>500</v>
      </c>
      <c r="E96" s="2" t="s">
        <v>501</v>
      </c>
      <c r="F96" s="2" t="s">
        <v>254</v>
      </c>
      <c r="G96">
        <v>13</v>
      </c>
      <c r="H96" s="3"/>
      <c r="I96" s="3">
        <v>46069.757650462961</v>
      </c>
    </row>
    <row r="97" spans="1:9" x14ac:dyDescent="0.25">
      <c r="A97">
        <v>434</v>
      </c>
      <c r="B97" s="2" t="s">
        <v>296</v>
      </c>
      <c r="C97" s="2" t="s">
        <v>502</v>
      </c>
      <c r="D97" s="2" t="s">
        <v>502</v>
      </c>
      <c r="E97" s="2" t="s">
        <v>503</v>
      </c>
      <c r="F97" s="2" t="s">
        <v>254</v>
      </c>
      <c r="G97">
        <v>14</v>
      </c>
      <c r="H97" s="3"/>
      <c r="I97" s="3">
        <v>46069.757650462961</v>
      </c>
    </row>
    <row r="98" spans="1:9" x14ac:dyDescent="0.25">
      <c r="A98">
        <v>435</v>
      </c>
      <c r="B98" s="2" t="s">
        <v>299</v>
      </c>
      <c r="C98" s="2" t="s">
        <v>504</v>
      </c>
      <c r="D98" s="2" t="s">
        <v>504</v>
      </c>
      <c r="E98" s="2" t="s">
        <v>505</v>
      </c>
      <c r="F98" s="2" t="s">
        <v>254</v>
      </c>
      <c r="G98">
        <v>15</v>
      </c>
      <c r="H98" s="3"/>
      <c r="I98" s="3">
        <v>46069.757650462961</v>
      </c>
    </row>
    <row r="99" spans="1:9" x14ac:dyDescent="0.25">
      <c r="A99">
        <v>436</v>
      </c>
      <c r="B99" s="2" t="s">
        <v>302</v>
      </c>
      <c r="C99" s="2" t="s">
        <v>506</v>
      </c>
      <c r="D99" s="2" t="s">
        <v>506</v>
      </c>
      <c r="E99" s="2" t="s">
        <v>507</v>
      </c>
      <c r="F99" s="2" t="s">
        <v>254</v>
      </c>
      <c r="G99">
        <v>16</v>
      </c>
      <c r="H99" s="3"/>
      <c r="I99" s="3">
        <v>46069.757650462961</v>
      </c>
    </row>
    <row r="100" spans="1:9" x14ac:dyDescent="0.25">
      <c r="A100">
        <v>437</v>
      </c>
      <c r="B100" s="2" t="s">
        <v>305</v>
      </c>
      <c r="C100" s="2" t="s">
        <v>508</v>
      </c>
      <c r="D100" s="2" t="s">
        <v>508</v>
      </c>
      <c r="E100" s="2" t="s">
        <v>509</v>
      </c>
      <c r="F100" s="2" t="s">
        <v>254</v>
      </c>
      <c r="G100">
        <v>17</v>
      </c>
      <c r="H100" s="3"/>
      <c r="I100" s="3">
        <v>46069.757650462961</v>
      </c>
    </row>
    <row r="101" spans="1:9" x14ac:dyDescent="0.25">
      <c r="A101">
        <v>438</v>
      </c>
      <c r="B101" s="2" t="s">
        <v>308</v>
      </c>
      <c r="C101" s="2" t="s">
        <v>510</v>
      </c>
      <c r="D101" s="2" t="s">
        <v>510</v>
      </c>
      <c r="E101" s="2" t="s">
        <v>511</v>
      </c>
      <c r="F101" s="2" t="s">
        <v>254</v>
      </c>
      <c r="G101">
        <v>18</v>
      </c>
      <c r="H101" s="3"/>
      <c r="I101" s="3">
        <v>46069.757650462961</v>
      </c>
    </row>
    <row r="102" spans="1:9" x14ac:dyDescent="0.25">
      <c r="A102">
        <v>439</v>
      </c>
      <c r="B102" s="2" t="s">
        <v>311</v>
      </c>
      <c r="C102" s="2" t="s">
        <v>512</v>
      </c>
      <c r="D102" s="2" t="s">
        <v>512</v>
      </c>
      <c r="E102" s="2" t="s">
        <v>513</v>
      </c>
      <c r="F102" s="2" t="s">
        <v>254</v>
      </c>
      <c r="G102">
        <v>19</v>
      </c>
      <c r="H102" s="3"/>
      <c r="I102" s="3">
        <v>46069.757650462961</v>
      </c>
    </row>
    <row r="103" spans="1:9" x14ac:dyDescent="0.25">
      <c r="A103">
        <v>440</v>
      </c>
      <c r="B103" s="2" t="s">
        <v>314</v>
      </c>
      <c r="C103" s="2" t="s">
        <v>514</v>
      </c>
      <c r="D103" s="2" t="s">
        <v>514</v>
      </c>
      <c r="E103" s="2" t="s">
        <v>515</v>
      </c>
      <c r="F103" s="2" t="s">
        <v>254</v>
      </c>
      <c r="G103">
        <v>20</v>
      </c>
      <c r="H103" s="3"/>
      <c r="I103" s="3">
        <v>46069.757650462961</v>
      </c>
    </row>
    <row r="104" spans="1:9" x14ac:dyDescent="0.25">
      <c r="A104">
        <v>441</v>
      </c>
      <c r="B104" s="2" t="s">
        <v>317</v>
      </c>
      <c r="C104" s="2" t="s">
        <v>516</v>
      </c>
      <c r="D104" s="2" t="s">
        <v>516</v>
      </c>
      <c r="E104" s="2" t="s">
        <v>517</v>
      </c>
      <c r="F104" s="2" t="s">
        <v>254</v>
      </c>
      <c r="G104">
        <v>21</v>
      </c>
      <c r="H104" s="3"/>
      <c r="I104" s="3">
        <v>46069.757650462961</v>
      </c>
    </row>
    <row r="105" spans="1:9" x14ac:dyDescent="0.25">
      <c r="A105">
        <v>442</v>
      </c>
      <c r="B105" s="2" t="s">
        <v>320</v>
      </c>
      <c r="C105" s="2" t="s">
        <v>518</v>
      </c>
      <c r="D105" s="2" t="s">
        <v>518</v>
      </c>
      <c r="E105" s="2" t="s">
        <v>519</v>
      </c>
      <c r="F105" s="2" t="s">
        <v>254</v>
      </c>
      <c r="G105">
        <v>22</v>
      </c>
      <c r="H105" s="3"/>
      <c r="I105" s="3">
        <v>46069.757650462961</v>
      </c>
    </row>
    <row r="106" spans="1:9" x14ac:dyDescent="0.25">
      <c r="A106">
        <v>443</v>
      </c>
      <c r="B106" s="2" t="s">
        <v>323</v>
      </c>
      <c r="C106" s="2" t="s">
        <v>520</v>
      </c>
      <c r="D106" s="2" t="s">
        <v>520</v>
      </c>
      <c r="E106" s="2" t="s">
        <v>521</v>
      </c>
      <c r="F106" s="2" t="s">
        <v>254</v>
      </c>
      <c r="G106">
        <v>23</v>
      </c>
      <c r="H106" s="3"/>
      <c r="I106" s="3">
        <v>46069.757650462961</v>
      </c>
    </row>
    <row r="107" spans="1:9" x14ac:dyDescent="0.25">
      <c r="A107">
        <v>444</v>
      </c>
      <c r="B107" s="2" t="s">
        <v>326</v>
      </c>
      <c r="C107" s="2" t="s">
        <v>522</v>
      </c>
      <c r="D107" s="2" t="s">
        <v>522</v>
      </c>
      <c r="E107" s="2" t="s">
        <v>523</v>
      </c>
      <c r="F107" s="2" t="s">
        <v>254</v>
      </c>
      <c r="G107">
        <v>24</v>
      </c>
      <c r="H107" s="3"/>
      <c r="I107" s="3">
        <v>46069.757650462961</v>
      </c>
    </row>
    <row r="108" spans="1:9" x14ac:dyDescent="0.25">
      <c r="A108">
        <v>445</v>
      </c>
      <c r="B108" s="2" t="s">
        <v>329</v>
      </c>
      <c r="C108" s="2" t="s">
        <v>524</v>
      </c>
      <c r="D108" s="2" t="s">
        <v>524</v>
      </c>
      <c r="E108" s="2" t="s">
        <v>525</v>
      </c>
      <c r="F108" s="2" t="s">
        <v>254</v>
      </c>
      <c r="G108">
        <v>25</v>
      </c>
      <c r="H108" s="3"/>
      <c r="I108" s="3">
        <v>46069.757650462961</v>
      </c>
    </row>
    <row r="109" spans="1:9" x14ac:dyDescent="0.25">
      <c r="A109">
        <v>446</v>
      </c>
      <c r="B109" s="2" t="s">
        <v>332</v>
      </c>
      <c r="C109" s="2" t="s">
        <v>526</v>
      </c>
      <c r="D109" s="2" t="s">
        <v>526</v>
      </c>
      <c r="E109" s="2" t="s">
        <v>527</v>
      </c>
      <c r="F109" s="2" t="s">
        <v>254</v>
      </c>
      <c r="G109">
        <v>26</v>
      </c>
      <c r="H109" s="3"/>
      <c r="I109" s="3">
        <v>46069.757650462961</v>
      </c>
    </row>
    <row r="110" spans="1:9" x14ac:dyDescent="0.25">
      <c r="A110">
        <v>447</v>
      </c>
      <c r="B110" s="2" t="s">
        <v>335</v>
      </c>
      <c r="C110" s="2" t="s">
        <v>528</v>
      </c>
      <c r="D110" s="2" t="s">
        <v>528</v>
      </c>
      <c r="E110" s="2" t="s">
        <v>529</v>
      </c>
      <c r="F110" s="2" t="s">
        <v>254</v>
      </c>
      <c r="G110">
        <v>27</v>
      </c>
      <c r="H110" s="3"/>
      <c r="I110" s="3">
        <v>46069.757650462961</v>
      </c>
    </row>
    <row r="111" spans="1:9" x14ac:dyDescent="0.25">
      <c r="A111">
        <v>448</v>
      </c>
      <c r="B111" s="2" t="s">
        <v>338</v>
      </c>
      <c r="C111" s="2" t="s">
        <v>530</v>
      </c>
      <c r="D111" s="2" t="s">
        <v>530</v>
      </c>
      <c r="E111" s="2" t="s">
        <v>531</v>
      </c>
      <c r="F111" s="2" t="s">
        <v>254</v>
      </c>
      <c r="G111">
        <v>28</v>
      </c>
      <c r="H111" s="3"/>
      <c r="I111" s="3">
        <v>46069.757650462961</v>
      </c>
    </row>
    <row r="112" spans="1:9" x14ac:dyDescent="0.25">
      <c r="A112">
        <v>449</v>
      </c>
      <c r="B112" s="2" t="s">
        <v>341</v>
      </c>
      <c r="C112" s="2" t="s">
        <v>532</v>
      </c>
      <c r="D112" s="2" t="s">
        <v>532</v>
      </c>
      <c r="E112" s="2" t="s">
        <v>533</v>
      </c>
      <c r="F112" s="2" t="s">
        <v>254</v>
      </c>
      <c r="G112">
        <v>29</v>
      </c>
      <c r="H112" s="3"/>
      <c r="I112" s="3">
        <v>46069.757650462961</v>
      </c>
    </row>
    <row r="113" spans="1:9" x14ac:dyDescent="0.25">
      <c r="A113">
        <v>450</v>
      </c>
      <c r="B113" s="2" t="s">
        <v>344</v>
      </c>
      <c r="C113" s="2" t="s">
        <v>534</v>
      </c>
      <c r="D113" s="2" t="s">
        <v>534</v>
      </c>
      <c r="E113" s="2" t="s">
        <v>535</v>
      </c>
      <c r="F113" s="2" t="s">
        <v>254</v>
      </c>
      <c r="G113">
        <v>30</v>
      </c>
      <c r="H113" s="3"/>
      <c r="I113" s="3">
        <v>46069.757650462961</v>
      </c>
    </row>
    <row r="114" spans="1:9" x14ac:dyDescent="0.25">
      <c r="A114">
        <v>451</v>
      </c>
      <c r="B114" s="2" t="s">
        <v>347</v>
      </c>
      <c r="C114" s="2" t="s">
        <v>536</v>
      </c>
      <c r="D114" s="2" t="s">
        <v>536</v>
      </c>
      <c r="E114" s="2" t="s">
        <v>537</v>
      </c>
      <c r="F114" s="2" t="s">
        <v>254</v>
      </c>
      <c r="G114">
        <v>31</v>
      </c>
      <c r="H114" s="3"/>
      <c r="I114" s="3">
        <v>46069.757650462961</v>
      </c>
    </row>
    <row r="115" spans="1:9" x14ac:dyDescent="0.25">
      <c r="A115">
        <v>452</v>
      </c>
      <c r="B115" s="2" t="s">
        <v>350</v>
      </c>
      <c r="C115" s="2" t="s">
        <v>538</v>
      </c>
      <c r="D115" s="2" t="s">
        <v>538</v>
      </c>
      <c r="E115" s="2" t="s">
        <v>539</v>
      </c>
      <c r="F115" s="2" t="s">
        <v>254</v>
      </c>
      <c r="G115">
        <v>32</v>
      </c>
      <c r="H115" s="3"/>
      <c r="I115" s="3">
        <v>46069.757650462961</v>
      </c>
    </row>
    <row r="116" spans="1:9" x14ac:dyDescent="0.25">
      <c r="A116">
        <v>453</v>
      </c>
      <c r="B116" s="2" t="s">
        <v>278</v>
      </c>
      <c r="C116" s="2" t="s">
        <v>540</v>
      </c>
      <c r="D116" s="2" t="s">
        <v>540</v>
      </c>
      <c r="E116" s="2" t="s">
        <v>541</v>
      </c>
      <c r="F116" s="2" t="s">
        <v>254</v>
      </c>
      <c r="G116">
        <v>33</v>
      </c>
      <c r="H116" s="3"/>
      <c r="I116" s="3">
        <v>46069.757662037038</v>
      </c>
    </row>
    <row r="117" spans="1:9" x14ac:dyDescent="0.25">
      <c r="A117">
        <v>454</v>
      </c>
      <c r="B117" s="2" t="s">
        <v>355</v>
      </c>
      <c r="C117" s="2" t="s">
        <v>542</v>
      </c>
      <c r="D117" s="2" t="s">
        <v>542</v>
      </c>
      <c r="E117" s="2" t="s">
        <v>543</v>
      </c>
      <c r="F117" s="2" t="s">
        <v>254</v>
      </c>
      <c r="G117">
        <v>34</v>
      </c>
      <c r="H117" s="3"/>
      <c r="I117" s="3">
        <v>46069.757662037038</v>
      </c>
    </row>
    <row r="118" spans="1:9" x14ac:dyDescent="0.25">
      <c r="A118">
        <v>455</v>
      </c>
      <c r="B118" s="2" t="s">
        <v>358</v>
      </c>
      <c r="C118" s="2" t="s">
        <v>544</v>
      </c>
      <c r="D118" s="2" t="s">
        <v>544</v>
      </c>
      <c r="E118" s="2" t="s">
        <v>545</v>
      </c>
      <c r="F118" s="2" t="s">
        <v>254</v>
      </c>
      <c r="G118">
        <v>35</v>
      </c>
      <c r="H118" s="3"/>
      <c r="I118" s="3">
        <v>46069.757662037038</v>
      </c>
    </row>
    <row r="119" spans="1:9" x14ac:dyDescent="0.25">
      <c r="A119">
        <v>456</v>
      </c>
      <c r="B119" s="2" t="s">
        <v>361</v>
      </c>
      <c r="C119" s="2" t="s">
        <v>546</v>
      </c>
      <c r="D119" s="2" t="s">
        <v>546</v>
      </c>
      <c r="E119" s="2" t="s">
        <v>547</v>
      </c>
      <c r="F119" s="2" t="s">
        <v>254</v>
      </c>
      <c r="G119">
        <v>36</v>
      </c>
      <c r="H119" s="3"/>
      <c r="I119" s="3">
        <v>46069.757662037038</v>
      </c>
    </row>
    <row r="120" spans="1:9" x14ac:dyDescent="0.25">
      <c r="A120">
        <v>457</v>
      </c>
      <c r="B120" s="2" t="s">
        <v>364</v>
      </c>
      <c r="C120" s="2" t="s">
        <v>548</v>
      </c>
      <c r="D120" s="2" t="s">
        <v>548</v>
      </c>
      <c r="E120" s="2" t="s">
        <v>549</v>
      </c>
      <c r="F120" s="2" t="s">
        <v>254</v>
      </c>
      <c r="G120">
        <v>37</v>
      </c>
      <c r="H120" s="3"/>
      <c r="I120" s="3">
        <v>46069.757662037038</v>
      </c>
    </row>
    <row r="121" spans="1:9" x14ac:dyDescent="0.25">
      <c r="A121">
        <v>458</v>
      </c>
      <c r="B121" s="2" t="s">
        <v>367</v>
      </c>
      <c r="C121" s="2" t="s">
        <v>550</v>
      </c>
      <c r="D121" s="2" t="s">
        <v>550</v>
      </c>
      <c r="E121" s="2" t="s">
        <v>551</v>
      </c>
      <c r="F121" s="2" t="s">
        <v>254</v>
      </c>
      <c r="G121">
        <v>38</v>
      </c>
      <c r="H121" s="3"/>
      <c r="I121" s="3">
        <v>46069.757662037038</v>
      </c>
    </row>
    <row r="122" spans="1:9" x14ac:dyDescent="0.25">
      <c r="A122">
        <v>459</v>
      </c>
      <c r="B122" s="2" t="s">
        <v>370</v>
      </c>
      <c r="C122" s="2" t="s">
        <v>552</v>
      </c>
      <c r="D122" s="2" t="s">
        <v>552</v>
      </c>
      <c r="E122" s="2" t="s">
        <v>553</v>
      </c>
      <c r="F122" s="2" t="s">
        <v>254</v>
      </c>
      <c r="G122">
        <v>39</v>
      </c>
      <c r="H122" s="3"/>
      <c r="I122" s="3">
        <v>46069.757662037038</v>
      </c>
    </row>
    <row r="123" spans="1:9" x14ac:dyDescent="0.25">
      <c r="A123">
        <v>460</v>
      </c>
      <c r="B123" s="2" t="s">
        <v>272</v>
      </c>
      <c r="C123" s="2" t="s">
        <v>554</v>
      </c>
      <c r="D123" s="2" t="s">
        <v>554</v>
      </c>
      <c r="E123" s="2" t="s">
        <v>555</v>
      </c>
      <c r="F123" s="2" t="s">
        <v>254</v>
      </c>
      <c r="G123">
        <v>40</v>
      </c>
      <c r="H123" s="3"/>
      <c r="I123" s="3">
        <v>46069.757662037038</v>
      </c>
    </row>
    <row r="124" spans="1:9" x14ac:dyDescent="0.25">
      <c r="A124">
        <v>461</v>
      </c>
      <c r="B124" s="2" t="s">
        <v>375</v>
      </c>
      <c r="C124" s="2" t="s">
        <v>556</v>
      </c>
      <c r="D124" s="2" t="s">
        <v>556</v>
      </c>
      <c r="E124" s="2" t="s">
        <v>557</v>
      </c>
      <c r="F124" s="2" t="s">
        <v>254</v>
      </c>
      <c r="G124">
        <v>41</v>
      </c>
      <c r="H124" s="3"/>
      <c r="I124" s="3">
        <v>46069.757662037038</v>
      </c>
    </row>
    <row r="125" spans="1:9" x14ac:dyDescent="0.25">
      <c r="A125">
        <v>462</v>
      </c>
      <c r="B125" s="2" t="s">
        <v>378</v>
      </c>
      <c r="C125" s="2" t="s">
        <v>558</v>
      </c>
      <c r="D125" s="2" t="s">
        <v>558</v>
      </c>
      <c r="E125" s="2" t="s">
        <v>559</v>
      </c>
      <c r="F125" s="2" t="s">
        <v>254</v>
      </c>
      <c r="G125">
        <v>42</v>
      </c>
      <c r="H125" s="3"/>
      <c r="I125" s="3">
        <v>46069.757662037038</v>
      </c>
    </row>
    <row r="126" spans="1:9" x14ac:dyDescent="0.25">
      <c r="A126">
        <v>463</v>
      </c>
      <c r="B126" s="2" t="s">
        <v>381</v>
      </c>
      <c r="C126" s="2" t="s">
        <v>560</v>
      </c>
      <c r="D126" s="2" t="s">
        <v>560</v>
      </c>
      <c r="E126" s="2" t="s">
        <v>561</v>
      </c>
      <c r="F126" s="2" t="s">
        <v>254</v>
      </c>
      <c r="G126">
        <v>43</v>
      </c>
      <c r="H126" s="3"/>
      <c r="I126" s="3">
        <v>46069.757662037038</v>
      </c>
    </row>
    <row r="127" spans="1:9" x14ac:dyDescent="0.25">
      <c r="A127">
        <v>464</v>
      </c>
      <c r="B127" s="2" t="s">
        <v>381</v>
      </c>
      <c r="C127" s="2" t="s">
        <v>562</v>
      </c>
      <c r="D127" s="2" t="s">
        <v>562</v>
      </c>
      <c r="E127" s="2" t="s">
        <v>563</v>
      </c>
      <c r="F127" s="2" t="s">
        <v>254</v>
      </c>
      <c r="G127">
        <v>44</v>
      </c>
      <c r="H127" s="3"/>
      <c r="I127" s="3">
        <v>46069.757662037038</v>
      </c>
    </row>
    <row r="128" spans="1:9" x14ac:dyDescent="0.25">
      <c r="A128">
        <v>465</v>
      </c>
      <c r="B128" s="2" t="s">
        <v>386</v>
      </c>
      <c r="C128" s="2" t="s">
        <v>564</v>
      </c>
      <c r="D128" s="2" t="s">
        <v>564</v>
      </c>
      <c r="E128" s="2" t="s">
        <v>565</v>
      </c>
      <c r="F128" s="2" t="s">
        <v>254</v>
      </c>
      <c r="G128">
        <v>45</v>
      </c>
      <c r="H128" s="3"/>
      <c r="I128" s="3">
        <v>46069.757662037038</v>
      </c>
    </row>
    <row r="129" spans="1:9" x14ac:dyDescent="0.25">
      <c r="A129">
        <v>466</v>
      </c>
      <c r="B129" s="2" t="s">
        <v>389</v>
      </c>
      <c r="C129" s="2" t="s">
        <v>566</v>
      </c>
      <c r="D129" s="2" t="s">
        <v>566</v>
      </c>
      <c r="E129" s="2" t="s">
        <v>567</v>
      </c>
      <c r="F129" s="2" t="s">
        <v>254</v>
      </c>
      <c r="G129">
        <v>46</v>
      </c>
      <c r="H129" s="3"/>
      <c r="I129" s="3">
        <v>46069.757662037038</v>
      </c>
    </row>
    <row r="130" spans="1:9" x14ac:dyDescent="0.25">
      <c r="A130">
        <v>467</v>
      </c>
      <c r="B130" s="2" t="s">
        <v>392</v>
      </c>
      <c r="C130" s="2" t="s">
        <v>568</v>
      </c>
      <c r="D130" s="2" t="s">
        <v>568</v>
      </c>
      <c r="E130" s="2" t="s">
        <v>569</v>
      </c>
      <c r="F130" s="2" t="s">
        <v>254</v>
      </c>
      <c r="G130">
        <v>47</v>
      </c>
      <c r="H130" s="3"/>
      <c r="I130" s="3">
        <v>46069.757662037038</v>
      </c>
    </row>
    <row r="131" spans="1:9" x14ac:dyDescent="0.25">
      <c r="A131">
        <v>468</v>
      </c>
      <c r="B131" s="2" t="s">
        <v>395</v>
      </c>
      <c r="C131" s="2" t="s">
        <v>570</v>
      </c>
      <c r="D131" s="2" t="s">
        <v>570</v>
      </c>
      <c r="E131" s="2" t="s">
        <v>571</v>
      </c>
      <c r="F131" s="2" t="s">
        <v>254</v>
      </c>
      <c r="G131">
        <v>48</v>
      </c>
      <c r="H131" s="3"/>
      <c r="I131" s="3">
        <v>46069.757662037038</v>
      </c>
    </row>
    <row r="132" spans="1:9" x14ac:dyDescent="0.25">
      <c r="A132">
        <v>469</v>
      </c>
      <c r="B132" s="2" t="s">
        <v>370</v>
      </c>
      <c r="C132" s="2" t="s">
        <v>572</v>
      </c>
      <c r="D132" s="2" t="s">
        <v>572</v>
      </c>
      <c r="E132" s="2" t="s">
        <v>573</v>
      </c>
      <c r="F132" s="2" t="s">
        <v>254</v>
      </c>
      <c r="G132">
        <v>49</v>
      </c>
      <c r="H132" s="3"/>
      <c r="I132" s="3">
        <v>46069.757662037038</v>
      </c>
    </row>
    <row r="133" spans="1:9" x14ac:dyDescent="0.25">
      <c r="A133">
        <v>470</v>
      </c>
      <c r="B133" s="2" t="s">
        <v>400</v>
      </c>
      <c r="C133" s="2" t="s">
        <v>574</v>
      </c>
      <c r="D133" s="2" t="s">
        <v>574</v>
      </c>
      <c r="E133" s="2" t="s">
        <v>575</v>
      </c>
      <c r="F133" s="2" t="s">
        <v>254</v>
      </c>
      <c r="G133">
        <v>50</v>
      </c>
      <c r="H133" s="3"/>
      <c r="I133" s="3">
        <v>46069.757662037038</v>
      </c>
    </row>
    <row r="134" spans="1:9" x14ac:dyDescent="0.25">
      <c r="A134">
        <v>471</v>
      </c>
      <c r="B134" s="2" t="s">
        <v>370</v>
      </c>
      <c r="C134" s="2" t="s">
        <v>576</v>
      </c>
      <c r="D134" s="2" t="s">
        <v>576</v>
      </c>
      <c r="E134" s="2" t="s">
        <v>577</v>
      </c>
      <c r="F134" s="2" t="s">
        <v>254</v>
      </c>
      <c r="G134">
        <v>51</v>
      </c>
      <c r="H134" s="3"/>
      <c r="I134" s="3">
        <v>46069.757662037038</v>
      </c>
    </row>
    <row r="135" spans="1:9" x14ac:dyDescent="0.25">
      <c r="A135">
        <v>472</v>
      </c>
      <c r="B135" s="2" t="s">
        <v>405</v>
      </c>
      <c r="C135" s="2" t="s">
        <v>578</v>
      </c>
      <c r="D135" s="2" t="s">
        <v>578</v>
      </c>
      <c r="E135" s="2" t="s">
        <v>579</v>
      </c>
      <c r="F135" s="2" t="s">
        <v>254</v>
      </c>
      <c r="G135">
        <v>52</v>
      </c>
      <c r="H135" s="3"/>
      <c r="I135" s="3">
        <v>46069.757662037038</v>
      </c>
    </row>
    <row r="136" spans="1:9" x14ac:dyDescent="0.25">
      <c r="A136">
        <v>473</v>
      </c>
      <c r="B136" s="2" t="s">
        <v>358</v>
      </c>
      <c r="C136" s="2" t="s">
        <v>580</v>
      </c>
      <c r="D136" s="2" t="s">
        <v>580</v>
      </c>
      <c r="E136" s="2" t="s">
        <v>581</v>
      </c>
      <c r="F136" s="2" t="s">
        <v>254</v>
      </c>
      <c r="G136">
        <v>53</v>
      </c>
      <c r="H136" s="3"/>
      <c r="I136" s="3">
        <v>46069.757673611108</v>
      </c>
    </row>
    <row r="137" spans="1:9" x14ac:dyDescent="0.25">
      <c r="A137">
        <v>474</v>
      </c>
      <c r="B137" s="2" t="s">
        <v>410</v>
      </c>
      <c r="C137" s="2" t="s">
        <v>582</v>
      </c>
      <c r="D137" s="2" t="s">
        <v>582</v>
      </c>
      <c r="E137" s="2" t="s">
        <v>583</v>
      </c>
      <c r="F137" s="2" t="s">
        <v>254</v>
      </c>
      <c r="G137">
        <v>54</v>
      </c>
      <c r="H137" s="3"/>
      <c r="I137" s="3">
        <v>46069.757673611108</v>
      </c>
    </row>
    <row r="138" spans="1:9" x14ac:dyDescent="0.25">
      <c r="A138">
        <v>475</v>
      </c>
      <c r="B138" s="2" t="s">
        <v>287</v>
      </c>
      <c r="C138" s="2" t="s">
        <v>584</v>
      </c>
      <c r="D138" s="2" t="s">
        <v>584</v>
      </c>
      <c r="E138" s="2" t="s">
        <v>585</v>
      </c>
      <c r="F138" s="2" t="s">
        <v>254</v>
      </c>
      <c r="G138">
        <v>55</v>
      </c>
      <c r="H138" s="3"/>
      <c r="I138" s="3">
        <v>46069.757673611108</v>
      </c>
    </row>
    <row r="139" spans="1:9" x14ac:dyDescent="0.25">
      <c r="A139">
        <v>476</v>
      </c>
      <c r="B139" s="2" t="s">
        <v>415</v>
      </c>
      <c r="C139" s="2" t="s">
        <v>586</v>
      </c>
      <c r="D139" s="2" t="s">
        <v>586</v>
      </c>
      <c r="E139" s="2" t="s">
        <v>587</v>
      </c>
      <c r="F139" s="2" t="s">
        <v>254</v>
      </c>
      <c r="G139">
        <v>56</v>
      </c>
      <c r="H139" s="3"/>
      <c r="I139" s="3">
        <v>46069.757673611108</v>
      </c>
    </row>
    <row r="140" spans="1:9" x14ac:dyDescent="0.25">
      <c r="A140">
        <v>477</v>
      </c>
      <c r="B140" s="2" t="s">
        <v>266</v>
      </c>
      <c r="C140" s="2" t="s">
        <v>588</v>
      </c>
      <c r="D140" s="2" t="s">
        <v>588</v>
      </c>
      <c r="E140" s="2" t="s">
        <v>589</v>
      </c>
      <c r="F140" s="2" t="s">
        <v>254</v>
      </c>
      <c r="G140">
        <v>57</v>
      </c>
      <c r="H140" s="3"/>
      <c r="I140" s="3">
        <v>46069.757673611108</v>
      </c>
    </row>
    <row r="141" spans="1:9" x14ac:dyDescent="0.25">
      <c r="A141">
        <v>478</v>
      </c>
      <c r="B141" s="2" t="s">
        <v>420</v>
      </c>
      <c r="C141" s="2" t="s">
        <v>590</v>
      </c>
      <c r="D141" s="2" t="s">
        <v>590</v>
      </c>
      <c r="E141" s="2" t="s">
        <v>591</v>
      </c>
      <c r="F141" s="2" t="s">
        <v>254</v>
      </c>
      <c r="G141">
        <v>58</v>
      </c>
      <c r="H141" s="3"/>
      <c r="I141" s="3">
        <v>46069.757673611108</v>
      </c>
    </row>
    <row r="142" spans="1:9" x14ac:dyDescent="0.25">
      <c r="A142">
        <v>479</v>
      </c>
      <c r="B142" s="2" t="s">
        <v>423</v>
      </c>
      <c r="C142" s="2" t="s">
        <v>592</v>
      </c>
      <c r="D142" s="2" t="s">
        <v>592</v>
      </c>
      <c r="E142" s="2" t="s">
        <v>593</v>
      </c>
      <c r="F142" s="2" t="s">
        <v>254</v>
      </c>
      <c r="G142">
        <v>59</v>
      </c>
      <c r="H142" s="3"/>
      <c r="I142" s="3">
        <v>46069.757673611108</v>
      </c>
    </row>
    <row r="143" spans="1:9" x14ac:dyDescent="0.25">
      <c r="A143">
        <v>480</v>
      </c>
      <c r="B143" s="2" t="s">
        <v>426</v>
      </c>
      <c r="C143" s="2" t="s">
        <v>594</v>
      </c>
      <c r="D143" s="2" t="s">
        <v>594</v>
      </c>
      <c r="E143" s="2" t="s">
        <v>595</v>
      </c>
      <c r="F143" s="2" t="s">
        <v>254</v>
      </c>
      <c r="G143">
        <v>60</v>
      </c>
      <c r="H143" s="3"/>
      <c r="I143" s="3">
        <v>46069.757673611108</v>
      </c>
    </row>
    <row r="144" spans="1:9" x14ac:dyDescent="0.25">
      <c r="A144">
        <v>481</v>
      </c>
      <c r="B144" s="2" t="s">
        <v>429</v>
      </c>
      <c r="C144" s="2" t="s">
        <v>596</v>
      </c>
      <c r="D144" s="2" t="s">
        <v>596</v>
      </c>
      <c r="E144" s="2" t="s">
        <v>597</v>
      </c>
      <c r="F144" s="2" t="s">
        <v>254</v>
      </c>
      <c r="G144">
        <v>61</v>
      </c>
      <c r="H144" s="3"/>
      <c r="I144" s="3">
        <v>46069.757673611108</v>
      </c>
    </row>
    <row r="145" spans="1:9" x14ac:dyDescent="0.25">
      <c r="A145">
        <v>482</v>
      </c>
      <c r="B145" s="2" t="s">
        <v>432</v>
      </c>
      <c r="C145" s="2" t="s">
        <v>598</v>
      </c>
      <c r="D145" s="2" t="s">
        <v>598</v>
      </c>
      <c r="E145" s="2" t="s">
        <v>599</v>
      </c>
      <c r="F145" s="2" t="s">
        <v>254</v>
      </c>
      <c r="G145">
        <v>62</v>
      </c>
      <c r="H145" s="3"/>
      <c r="I145" s="3">
        <v>46069.757673611108</v>
      </c>
    </row>
    <row r="146" spans="1:9" x14ac:dyDescent="0.25">
      <c r="A146">
        <v>483</v>
      </c>
      <c r="B146" s="2" t="s">
        <v>435</v>
      </c>
      <c r="C146" s="2" t="s">
        <v>600</v>
      </c>
      <c r="D146" s="2" t="s">
        <v>600</v>
      </c>
      <c r="E146" s="2" t="s">
        <v>601</v>
      </c>
      <c r="F146" s="2" t="s">
        <v>254</v>
      </c>
      <c r="G146">
        <v>63</v>
      </c>
      <c r="H146" s="3"/>
      <c r="I146" s="3">
        <v>46069.757673611108</v>
      </c>
    </row>
    <row r="147" spans="1:9" x14ac:dyDescent="0.25">
      <c r="A147">
        <v>484</v>
      </c>
      <c r="B147" s="2" t="s">
        <v>278</v>
      </c>
      <c r="C147" s="2" t="s">
        <v>602</v>
      </c>
      <c r="D147" s="2" t="s">
        <v>602</v>
      </c>
      <c r="E147" s="2" t="s">
        <v>603</v>
      </c>
      <c r="F147" s="2" t="s">
        <v>254</v>
      </c>
      <c r="G147">
        <v>64</v>
      </c>
      <c r="H147" s="3"/>
      <c r="I147" s="3">
        <v>46069.757673611108</v>
      </c>
    </row>
    <row r="148" spans="1:9" x14ac:dyDescent="0.25">
      <c r="A148">
        <v>485</v>
      </c>
      <c r="B148" s="2" t="s">
        <v>440</v>
      </c>
      <c r="C148" s="2" t="s">
        <v>604</v>
      </c>
      <c r="D148" s="2" t="s">
        <v>604</v>
      </c>
      <c r="E148" s="2" t="s">
        <v>605</v>
      </c>
      <c r="F148" s="2" t="s">
        <v>254</v>
      </c>
      <c r="G148">
        <v>65</v>
      </c>
      <c r="H148" s="3"/>
      <c r="I148" s="3">
        <v>46069.757673611108</v>
      </c>
    </row>
    <row r="149" spans="1:9" x14ac:dyDescent="0.25">
      <c r="A149">
        <v>486</v>
      </c>
      <c r="B149" s="2" t="s">
        <v>443</v>
      </c>
      <c r="C149" s="2" t="s">
        <v>606</v>
      </c>
      <c r="D149" s="2" t="s">
        <v>606</v>
      </c>
      <c r="E149" s="2" t="s">
        <v>607</v>
      </c>
      <c r="F149" s="2" t="s">
        <v>254</v>
      </c>
      <c r="G149">
        <v>66</v>
      </c>
      <c r="H149" s="3"/>
      <c r="I149" s="3">
        <v>46069.757673611108</v>
      </c>
    </row>
    <row r="150" spans="1:9" x14ac:dyDescent="0.25">
      <c r="A150">
        <v>487</v>
      </c>
      <c r="B150" s="2" t="s">
        <v>446</v>
      </c>
      <c r="C150" s="2" t="s">
        <v>608</v>
      </c>
      <c r="D150" s="2" t="s">
        <v>608</v>
      </c>
      <c r="E150" s="2" t="s">
        <v>609</v>
      </c>
      <c r="F150" s="2" t="s">
        <v>254</v>
      </c>
      <c r="G150">
        <v>67</v>
      </c>
      <c r="H150" s="3"/>
      <c r="I150" s="3">
        <v>46069.757673611108</v>
      </c>
    </row>
    <row r="151" spans="1:9" x14ac:dyDescent="0.25">
      <c r="A151">
        <v>488</v>
      </c>
      <c r="B151" s="2" t="s">
        <v>449</v>
      </c>
      <c r="C151" s="2" t="s">
        <v>610</v>
      </c>
      <c r="D151" s="2" t="s">
        <v>610</v>
      </c>
      <c r="E151" s="2" t="s">
        <v>611</v>
      </c>
      <c r="F151" s="2" t="s">
        <v>254</v>
      </c>
      <c r="G151">
        <v>68</v>
      </c>
      <c r="H151" s="3"/>
      <c r="I151" s="3">
        <v>46069.757673611108</v>
      </c>
    </row>
    <row r="152" spans="1:9" x14ac:dyDescent="0.25">
      <c r="A152">
        <v>489</v>
      </c>
      <c r="B152" s="2" t="s">
        <v>452</v>
      </c>
      <c r="C152" s="2" t="s">
        <v>612</v>
      </c>
      <c r="D152" s="2" t="s">
        <v>612</v>
      </c>
      <c r="E152" s="2" t="s">
        <v>613</v>
      </c>
      <c r="F152" s="2" t="s">
        <v>254</v>
      </c>
      <c r="G152">
        <v>69</v>
      </c>
      <c r="H152" s="3"/>
      <c r="I152" s="3">
        <v>46069.757673611108</v>
      </c>
    </row>
    <row r="153" spans="1:9" x14ac:dyDescent="0.25">
      <c r="A153">
        <v>490</v>
      </c>
      <c r="B153" s="2" t="s">
        <v>455</v>
      </c>
      <c r="C153" s="2" t="s">
        <v>614</v>
      </c>
      <c r="D153" s="2" t="s">
        <v>614</v>
      </c>
      <c r="E153" s="2" t="s">
        <v>615</v>
      </c>
      <c r="F153" s="2" t="s">
        <v>254</v>
      </c>
      <c r="G153">
        <v>70</v>
      </c>
      <c r="H153" s="3"/>
      <c r="I153" s="3">
        <v>46069.757673611108</v>
      </c>
    </row>
    <row r="154" spans="1:9" x14ac:dyDescent="0.25">
      <c r="A154">
        <v>491</v>
      </c>
      <c r="B154" s="2" t="s">
        <v>375</v>
      </c>
      <c r="C154" s="2" t="s">
        <v>616</v>
      </c>
      <c r="D154" s="2" t="s">
        <v>616</v>
      </c>
      <c r="E154" s="2" t="s">
        <v>617</v>
      </c>
      <c r="F154" s="2" t="s">
        <v>254</v>
      </c>
      <c r="G154">
        <v>71</v>
      </c>
      <c r="H154" s="3"/>
      <c r="I154" s="3">
        <v>46069.757673611108</v>
      </c>
    </row>
    <row r="155" spans="1:9" x14ac:dyDescent="0.25">
      <c r="A155">
        <v>492</v>
      </c>
      <c r="B155" s="2" t="s">
        <v>460</v>
      </c>
      <c r="C155" s="2" t="s">
        <v>618</v>
      </c>
      <c r="D155" s="2" t="s">
        <v>618</v>
      </c>
      <c r="E155" s="2" t="s">
        <v>619</v>
      </c>
      <c r="F155" s="2" t="s">
        <v>254</v>
      </c>
      <c r="G155">
        <v>72</v>
      </c>
      <c r="H155" s="3"/>
      <c r="I155" s="3">
        <v>46069.757673611108</v>
      </c>
    </row>
    <row r="156" spans="1:9" x14ac:dyDescent="0.25">
      <c r="A156">
        <v>493</v>
      </c>
      <c r="B156" s="2" t="s">
        <v>463</v>
      </c>
      <c r="C156" s="2" t="s">
        <v>620</v>
      </c>
      <c r="D156" s="2" t="s">
        <v>620</v>
      </c>
      <c r="E156" s="2" t="s">
        <v>621</v>
      </c>
      <c r="F156" s="2" t="s">
        <v>254</v>
      </c>
      <c r="G156">
        <v>73</v>
      </c>
      <c r="H156" s="3"/>
      <c r="I156" s="3">
        <v>46069.757685185185</v>
      </c>
    </row>
    <row r="157" spans="1:9" x14ac:dyDescent="0.25">
      <c r="A157">
        <v>494</v>
      </c>
      <c r="B157" s="2" t="s">
        <v>466</v>
      </c>
      <c r="C157" s="2" t="s">
        <v>622</v>
      </c>
      <c r="D157" s="2" t="s">
        <v>622</v>
      </c>
      <c r="E157" s="2" t="s">
        <v>623</v>
      </c>
      <c r="F157" s="2" t="s">
        <v>254</v>
      </c>
      <c r="G157">
        <v>74</v>
      </c>
      <c r="H157" s="3"/>
      <c r="I157" s="3">
        <v>46069.757685185185</v>
      </c>
    </row>
    <row r="158" spans="1:9" x14ac:dyDescent="0.25">
      <c r="A158">
        <v>495</v>
      </c>
      <c r="B158" s="2" t="s">
        <v>469</v>
      </c>
      <c r="C158" s="2" t="s">
        <v>624</v>
      </c>
      <c r="D158" s="2" t="s">
        <v>624</v>
      </c>
      <c r="E158" s="2" t="s">
        <v>625</v>
      </c>
      <c r="F158" s="2" t="s">
        <v>254</v>
      </c>
      <c r="G158">
        <v>75</v>
      </c>
      <c r="H158" s="3"/>
      <c r="I158" s="3">
        <v>46069.757685185185</v>
      </c>
    </row>
    <row r="159" spans="1:9" x14ac:dyDescent="0.25">
      <c r="A159">
        <v>496</v>
      </c>
      <c r="B159" s="2" t="s">
        <v>472</v>
      </c>
      <c r="C159" s="2" t="s">
        <v>626</v>
      </c>
      <c r="D159" s="2" t="s">
        <v>626</v>
      </c>
      <c r="E159" s="2" t="s">
        <v>627</v>
      </c>
      <c r="F159" s="2" t="s">
        <v>254</v>
      </c>
      <c r="G159">
        <v>76</v>
      </c>
      <c r="H159" s="3"/>
      <c r="I159" s="3">
        <v>46069.757685185185</v>
      </c>
    </row>
    <row r="160" spans="1:9" x14ac:dyDescent="0.25">
      <c r="A160">
        <v>497</v>
      </c>
      <c r="B160" s="2" t="s">
        <v>475</v>
      </c>
      <c r="C160" s="2" t="s">
        <v>628</v>
      </c>
      <c r="D160" s="2" t="s">
        <v>628</v>
      </c>
      <c r="E160" s="2" t="s">
        <v>629</v>
      </c>
      <c r="F160" s="2" t="s">
        <v>254</v>
      </c>
      <c r="G160">
        <v>77</v>
      </c>
      <c r="H160" s="3"/>
      <c r="I160" s="3">
        <v>46069.757685185185</v>
      </c>
    </row>
    <row r="161" spans="1:9" x14ac:dyDescent="0.25">
      <c r="A161">
        <v>888</v>
      </c>
      <c r="B161" s="2" t="s">
        <v>630</v>
      </c>
      <c r="C161" s="2" t="s">
        <v>155</v>
      </c>
      <c r="D161" s="2" t="s">
        <v>155</v>
      </c>
      <c r="E161" s="2" t="s">
        <v>631</v>
      </c>
      <c r="F161" s="2" t="s">
        <v>254</v>
      </c>
      <c r="G161">
        <v>78</v>
      </c>
      <c r="H161" s="3">
        <v>46069.812743055554</v>
      </c>
      <c r="I161" s="3">
        <v>46069.759814814817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CB80D-FA01-488F-934A-54D4B5ADDD42}">
  <dimension ref="A3:F9"/>
  <sheetViews>
    <sheetView workbookViewId="0">
      <selection activeCell="A3" sqref="A3"/>
    </sheetView>
  </sheetViews>
  <sheetFormatPr defaultRowHeight="15" x14ac:dyDescent="0.25"/>
  <cols>
    <col min="1" max="1" width="15.5703125" bestFit="1" customWidth="1"/>
    <col min="2" max="2" width="16.28515625" bestFit="1" customWidth="1"/>
    <col min="3" max="3" width="8.5703125" bestFit="1" customWidth="1"/>
    <col min="4" max="4" width="14.42578125" bestFit="1" customWidth="1"/>
    <col min="5" max="5" width="8.28515625" bestFit="1" customWidth="1"/>
    <col min="6" max="6" width="11.28515625" bestFit="1" customWidth="1"/>
  </cols>
  <sheetData>
    <row r="3" spans="1:6" x14ac:dyDescent="0.25">
      <c r="A3" s="6" t="s">
        <v>636</v>
      </c>
      <c r="B3" s="6" t="s">
        <v>634</v>
      </c>
    </row>
    <row r="4" spans="1:6" x14ac:dyDescent="0.25">
      <c r="A4" s="6" t="s">
        <v>632</v>
      </c>
      <c r="B4" t="s">
        <v>168</v>
      </c>
      <c r="C4" t="s">
        <v>162</v>
      </c>
      <c r="D4" t="s">
        <v>166</v>
      </c>
      <c r="E4" t="s">
        <v>164</v>
      </c>
      <c r="F4" t="s">
        <v>633</v>
      </c>
    </row>
    <row r="5" spans="1:6" x14ac:dyDescent="0.25">
      <c r="A5" s="7" t="s">
        <v>10</v>
      </c>
      <c r="B5" s="2"/>
      <c r="C5" s="2">
        <v>1</v>
      </c>
      <c r="D5" s="2"/>
      <c r="E5" s="2"/>
      <c r="F5" s="2">
        <v>1</v>
      </c>
    </row>
    <row r="6" spans="1:6" x14ac:dyDescent="0.25">
      <c r="A6" s="7" t="s">
        <v>13</v>
      </c>
      <c r="B6" s="2">
        <v>1</v>
      </c>
      <c r="C6" s="2"/>
      <c r="D6" s="2"/>
      <c r="E6" s="2"/>
      <c r="F6" s="2">
        <v>1</v>
      </c>
    </row>
    <row r="7" spans="1:6" x14ac:dyDescent="0.25">
      <c r="A7" s="7" t="s">
        <v>16</v>
      </c>
      <c r="B7" s="2"/>
      <c r="C7" s="2"/>
      <c r="D7" s="2">
        <v>2</v>
      </c>
      <c r="E7" s="2"/>
      <c r="F7" s="2">
        <v>2</v>
      </c>
    </row>
    <row r="8" spans="1:6" x14ac:dyDescent="0.25">
      <c r="A8" s="7" t="s">
        <v>41</v>
      </c>
      <c r="B8" s="2"/>
      <c r="C8" s="2"/>
      <c r="D8" s="2"/>
      <c r="E8" s="2">
        <v>1</v>
      </c>
      <c r="F8" s="2">
        <v>1</v>
      </c>
    </row>
    <row r="9" spans="1:6" x14ac:dyDescent="0.25">
      <c r="A9" s="7" t="s">
        <v>633</v>
      </c>
      <c r="B9" s="2">
        <v>1</v>
      </c>
      <c r="C9" s="2">
        <v>1</v>
      </c>
      <c r="D9" s="2">
        <v>2</v>
      </c>
      <c r="E9" s="2">
        <v>1</v>
      </c>
      <c r="F9" s="2">
        <v>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70649-1C17-404C-B7A0-4B0CF2E3BBC4}">
  <dimension ref="A1:I6"/>
  <sheetViews>
    <sheetView workbookViewId="0">
      <selection activeCell="E5" sqref="E5"/>
    </sheetView>
  </sheetViews>
  <sheetFormatPr defaultRowHeight="15" x14ac:dyDescent="0.25"/>
  <cols>
    <col min="1" max="1" width="5" bestFit="1" customWidth="1"/>
    <col min="2" max="2" width="10.140625" bestFit="1" customWidth="1"/>
    <col min="3" max="3" width="13.7109375" bestFit="1" customWidth="1"/>
    <col min="4" max="4" width="14.140625" bestFit="1" customWidth="1"/>
    <col min="5" max="5" width="15.140625" bestFit="1" customWidth="1"/>
    <col min="6" max="6" width="12.42578125" bestFit="1" customWidth="1"/>
    <col min="7" max="7" width="11.85546875" bestFit="1" customWidth="1"/>
    <col min="8" max="8" width="10.140625" bestFit="1" customWidth="1"/>
    <col min="9" max="9" width="14.85546875" bestFit="1" customWidth="1"/>
  </cols>
  <sheetData>
    <row r="1" spans="1:9" x14ac:dyDescent="0.25">
      <c r="A1" t="s">
        <v>0</v>
      </c>
      <c r="B1" t="s">
        <v>18</v>
      </c>
      <c r="C1" t="s">
        <v>5</v>
      </c>
      <c r="D1" t="s">
        <v>160</v>
      </c>
      <c r="E1" t="s">
        <v>223</v>
      </c>
      <c r="F1" t="s">
        <v>224</v>
      </c>
      <c r="G1" t="s">
        <v>225</v>
      </c>
      <c r="H1" t="s">
        <v>226</v>
      </c>
      <c r="I1" t="s">
        <v>7</v>
      </c>
    </row>
    <row r="2" spans="1:9" x14ac:dyDescent="0.25">
      <c r="A2">
        <v>1</v>
      </c>
      <c r="B2">
        <v>1</v>
      </c>
      <c r="C2" s="2" t="s">
        <v>10</v>
      </c>
      <c r="D2" s="2" t="s">
        <v>162</v>
      </c>
      <c r="E2" s="2" t="s">
        <v>227</v>
      </c>
      <c r="F2" s="4">
        <v>0.3125</v>
      </c>
      <c r="G2" s="4">
        <v>0.375</v>
      </c>
      <c r="H2" s="2" t="s">
        <v>228</v>
      </c>
      <c r="I2" s="3">
        <v>46068.472546296296</v>
      </c>
    </row>
    <row r="3" spans="1:9" x14ac:dyDescent="0.25">
      <c r="A3">
        <v>2</v>
      </c>
      <c r="B3">
        <v>5</v>
      </c>
      <c r="C3" s="2" t="s">
        <v>13</v>
      </c>
      <c r="D3" s="2" t="s">
        <v>168</v>
      </c>
      <c r="E3" s="2" t="s">
        <v>229</v>
      </c>
      <c r="F3" s="4">
        <v>0.54166666666666663</v>
      </c>
      <c r="G3" s="4">
        <v>0.625</v>
      </c>
      <c r="H3" s="2" t="s">
        <v>230</v>
      </c>
      <c r="I3" s="3">
        <v>46068.490335648145</v>
      </c>
    </row>
    <row r="4" spans="1:9" x14ac:dyDescent="0.25">
      <c r="A4">
        <v>3</v>
      </c>
      <c r="B4">
        <v>4</v>
      </c>
      <c r="C4" s="2" t="s">
        <v>16</v>
      </c>
      <c r="D4" s="2" t="s">
        <v>166</v>
      </c>
      <c r="E4" s="2" t="s">
        <v>231</v>
      </c>
      <c r="F4" s="4">
        <v>0.375</v>
      </c>
      <c r="G4" s="4">
        <v>0.49930555555555556</v>
      </c>
      <c r="H4" s="2" t="s">
        <v>232</v>
      </c>
      <c r="I4" s="3">
        <v>46068.490972222222</v>
      </c>
    </row>
    <row r="5" spans="1:9" x14ac:dyDescent="0.25">
      <c r="A5">
        <v>4</v>
      </c>
      <c r="B5">
        <v>3</v>
      </c>
      <c r="C5" s="2" t="s">
        <v>16</v>
      </c>
      <c r="D5" s="2" t="s">
        <v>166</v>
      </c>
      <c r="E5" s="2" t="s">
        <v>233</v>
      </c>
      <c r="F5" s="4">
        <v>0.60416666666666663</v>
      </c>
      <c r="G5" s="4">
        <v>0.66666666666666663</v>
      </c>
      <c r="H5" s="2" t="s">
        <v>234</v>
      </c>
      <c r="I5" s="3">
        <v>46068.49145833333</v>
      </c>
    </row>
    <row r="6" spans="1:9" x14ac:dyDescent="0.25">
      <c r="A6">
        <v>5</v>
      </c>
      <c r="B6">
        <v>2</v>
      </c>
      <c r="C6" s="2" t="s">
        <v>41</v>
      </c>
      <c r="D6" s="2" t="s">
        <v>164</v>
      </c>
      <c r="E6" s="2" t="s">
        <v>235</v>
      </c>
      <c r="F6" s="4">
        <v>0.3125</v>
      </c>
      <c r="G6" s="4">
        <v>0.4375</v>
      </c>
      <c r="H6" s="2" t="s">
        <v>236</v>
      </c>
      <c r="I6" s="3">
        <v>46068.491909722223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63A8-31D3-404C-A0D4-77E9C635BE33}">
  <dimension ref="A1:G38"/>
  <sheetViews>
    <sheetView topLeftCell="A2" workbookViewId="0">
      <selection activeCell="E13" sqref="E13"/>
    </sheetView>
  </sheetViews>
  <sheetFormatPr defaultRowHeight="15" x14ac:dyDescent="0.25"/>
  <cols>
    <col min="1" max="1" width="5" bestFit="1" customWidth="1"/>
    <col min="2" max="2" width="12.85546875" bestFit="1" customWidth="1"/>
    <col min="3" max="3" width="9.85546875" bestFit="1" customWidth="1"/>
    <col min="4" max="4" width="13.28515625" bestFit="1" customWidth="1"/>
    <col min="5" max="5" width="33.42578125" bestFit="1" customWidth="1"/>
    <col min="6" max="6" width="35.5703125" bestFit="1" customWidth="1"/>
    <col min="7" max="7" width="14.85546875" bestFit="1" customWidth="1"/>
  </cols>
  <sheetData>
    <row r="1" spans="1:7" x14ac:dyDescent="0.25">
      <c r="A1" t="s">
        <v>0</v>
      </c>
      <c r="B1" t="s">
        <v>1</v>
      </c>
      <c r="C1" t="s">
        <v>179</v>
      </c>
      <c r="D1" t="s">
        <v>180</v>
      </c>
      <c r="E1" t="s">
        <v>181</v>
      </c>
      <c r="F1" t="s">
        <v>182</v>
      </c>
      <c r="G1" t="s">
        <v>7</v>
      </c>
    </row>
    <row r="2" spans="1:7" x14ac:dyDescent="0.25">
      <c r="A2">
        <v>1</v>
      </c>
      <c r="B2">
        <v>53</v>
      </c>
      <c r="C2">
        <v>1</v>
      </c>
      <c r="D2" s="2" t="s">
        <v>183</v>
      </c>
      <c r="E2" s="2" t="s">
        <v>184</v>
      </c>
      <c r="F2" s="2" t="s">
        <v>185</v>
      </c>
      <c r="G2" s="3">
        <v>46069.599479166667</v>
      </c>
    </row>
    <row r="3" spans="1:7" x14ac:dyDescent="0.25">
      <c r="A3">
        <v>2</v>
      </c>
      <c r="B3">
        <v>53</v>
      </c>
      <c r="C3">
        <v>1</v>
      </c>
      <c r="D3" s="2" t="s">
        <v>186</v>
      </c>
      <c r="E3" s="2" t="s">
        <v>187</v>
      </c>
      <c r="F3" s="2" t="s">
        <v>188</v>
      </c>
      <c r="G3" s="3">
        <v>46069.599479166667</v>
      </c>
    </row>
    <row r="4" spans="1:7" x14ac:dyDescent="0.25">
      <c r="A4">
        <v>3</v>
      </c>
      <c r="B4">
        <v>53</v>
      </c>
      <c r="C4">
        <v>1</v>
      </c>
      <c r="D4" s="2" t="s">
        <v>189</v>
      </c>
      <c r="E4" s="2" t="s">
        <v>190</v>
      </c>
      <c r="F4" s="2" t="s">
        <v>191</v>
      </c>
      <c r="G4" s="3">
        <v>46069.599479166667</v>
      </c>
    </row>
    <row r="5" spans="1:7" x14ac:dyDescent="0.25">
      <c r="A5">
        <v>4</v>
      </c>
      <c r="B5">
        <v>53</v>
      </c>
      <c r="C5">
        <v>2</v>
      </c>
      <c r="D5" s="2" t="s">
        <v>186</v>
      </c>
      <c r="E5" s="2" t="s">
        <v>192</v>
      </c>
      <c r="F5" s="2" t="s">
        <v>193</v>
      </c>
      <c r="G5" s="3">
        <v>46069.602916666663</v>
      </c>
    </row>
    <row r="6" spans="1:7" x14ac:dyDescent="0.25">
      <c r="A6">
        <v>5</v>
      </c>
      <c r="B6">
        <v>53</v>
      </c>
      <c r="C6">
        <v>2</v>
      </c>
      <c r="D6" s="2" t="s">
        <v>189</v>
      </c>
      <c r="E6" s="2" t="s">
        <v>194</v>
      </c>
      <c r="F6" s="2" t="s">
        <v>191</v>
      </c>
      <c r="G6" s="3">
        <v>46069.602916666663</v>
      </c>
    </row>
    <row r="7" spans="1:7" x14ac:dyDescent="0.25">
      <c r="A7">
        <v>6</v>
      </c>
      <c r="B7">
        <v>53</v>
      </c>
      <c r="C7">
        <v>2</v>
      </c>
      <c r="D7" s="2" t="s">
        <v>183</v>
      </c>
      <c r="E7" s="2" t="s">
        <v>195</v>
      </c>
      <c r="F7" s="2" t="s">
        <v>185</v>
      </c>
      <c r="G7" s="3">
        <v>46069.602916666663</v>
      </c>
    </row>
    <row r="8" spans="1:7" x14ac:dyDescent="0.25">
      <c r="A8">
        <v>7</v>
      </c>
      <c r="B8">
        <v>53</v>
      </c>
      <c r="C8">
        <v>3</v>
      </c>
      <c r="D8" s="2" t="s">
        <v>186</v>
      </c>
      <c r="E8" s="2" t="s">
        <v>196</v>
      </c>
      <c r="F8" s="2" t="s">
        <v>193</v>
      </c>
      <c r="G8" s="3">
        <v>46069.603402777779</v>
      </c>
    </row>
    <row r="9" spans="1:7" x14ac:dyDescent="0.25">
      <c r="A9">
        <v>8</v>
      </c>
      <c r="B9">
        <v>53</v>
      </c>
      <c r="C9">
        <v>3</v>
      </c>
      <c r="D9" s="2" t="s">
        <v>183</v>
      </c>
      <c r="E9" s="2" t="s">
        <v>197</v>
      </c>
      <c r="F9" s="2" t="s">
        <v>185</v>
      </c>
      <c r="G9" s="3">
        <v>46069.603402777779</v>
      </c>
    </row>
    <row r="10" spans="1:7" x14ac:dyDescent="0.25">
      <c r="A10">
        <v>9</v>
      </c>
      <c r="B10">
        <v>53</v>
      </c>
      <c r="C10">
        <v>3</v>
      </c>
      <c r="D10" s="2" t="s">
        <v>189</v>
      </c>
      <c r="E10" s="2" t="s">
        <v>198</v>
      </c>
      <c r="F10" s="2" t="s">
        <v>191</v>
      </c>
      <c r="G10" s="3">
        <v>46069.603402777779</v>
      </c>
    </row>
    <row r="11" spans="1:7" x14ac:dyDescent="0.25">
      <c r="A11">
        <v>10</v>
      </c>
      <c r="B11">
        <v>53</v>
      </c>
      <c r="C11">
        <v>4</v>
      </c>
      <c r="D11" s="2" t="s">
        <v>186</v>
      </c>
      <c r="E11" s="2" t="s">
        <v>199</v>
      </c>
      <c r="F11" s="2" t="s">
        <v>193</v>
      </c>
      <c r="G11" s="3">
        <v>46069.603993055556</v>
      </c>
    </row>
    <row r="12" spans="1:7" x14ac:dyDescent="0.25">
      <c r="A12">
        <v>11</v>
      </c>
      <c r="B12">
        <v>53</v>
      </c>
      <c r="C12">
        <v>4</v>
      </c>
      <c r="D12" s="2" t="s">
        <v>183</v>
      </c>
      <c r="E12" s="2" t="s">
        <v>185</v>
      </c>
      <c r="F12" s="2" t="s">
        <v>185</v>
      </c>
      <c r="G12" s="3">
        <v>46069.603993055556</v>
      </c>
    </row>
    <row r="13" spans="1:7" x14ac:dyDescent="0.25">
      <c r="A13">
        <v>12</v>
      </c>
      <c r="B13">
        <v>53</v>
      </c>
      <c r="C13">
        <v>4</v>
      </c>
      <c r="D13" s="2" t="s">
        <v>189</v>
      </c>
      <c r="E13" s="2" t="s">
        <v>200</v>
      </c>
      <c r="F13" s="2" t="s">
        <v>191</v>
      </c>
      <c r="G13" s="3">
        <v>46069.603993055556</v>
      </c>
    </row>
    <row r="14" spans="1:7" x14ac:dyDescent="0.25">
      <c r="A14">
        <v>19</v>
      </c>
      <c r="B14">
        <v>63</v>
      </c>
      <c r="C14">
        <v>1</v>
      </c>
      <c r="D14" s="2" t="s">
        <v>183</v>
      </c>
      <c r="E14" s="2" t="s">
        <v>201</v>
      </c>
      <c r="F14" s="2" t="s">
        <v>185</v>
      </c>
      <c r="G14" s="3">
        <v>46069.612222222226</v>
      </c>
    </row>
    <row r="15" spans="1:7" x14ac:dyDescent="0.25">
      <c r="A15">
        <v>20</v>
      </c>
      <c r="B15">
        <v>63</v>
      </c>
      <c r="C15">
        <v>1</v>
      </c>
      <c r="D15" s="2" t="s">
        <v>186</v>
      </c>
      <c r="E15" s="2" t="s">
        <v>202</v>
      </c>
      <c r="F15" s="2" t="s">
        <v>188</v>
      </c>
      <c r="G15" s="3">
        <v>46069.612222222226</v>
      </c>
    </row>
    <row r="16" spans="1:7" x14ac:dyDescent="0.25">
      <c r="A16">
        <v>21</v>
      </c>
      <c r="B16">
        <v>63</v>
      </c>
      <c r="C16">
        <v>1</v>
      </c>
      <c r="D16" s="2" t="s">
        <v>189</v>
      </c>
      <c r="E16" s="2" t="s">
        <v>203</v>
      </c>
      <c r="F16" s="2" t="s">
        <v>191</v>
      </c>
      <c r="G16" s="3">
        <v>46069.612222222226</v>
      </c>
    </row>
    <row r="17" spans="1:7" x14ac:dyDescent="0.25">
      <c r="A17">
        <v>22</v>
      </c>
      <c r="B17">
        <v>63</v>
      </c>
      <c r="C17">
        <v>2</v>
      </c>
      <c r="D17" s="2" t="s">
        <v>186</v>
      </c>
      <c r="E17" s="2" t="s">
        <v>204</v>
      </c>
      <c r="F17" s="2" t="s">
        <v>193</v>
      </c>
      <c r="G17" s="3">
        <v>46069.612743055557</v>
      </c>
    </row>
    <row r="18" spans="1:7" x14ac:dyDescent="0.25">
      <c r="A18">
        <v>23</v>
      </c>
      <c r="B18">
        <v>63</v>
      </c>
      <c r="C18">
        <v>2</v>
      </c>
      <c r="D18" s="2" t="s">
        <v>183</v>
      </c>
      <c r="E18" s="2" t="s">
        <v>205</v>
      </c>
      <c r="F18" s="2" t="s">
        <v>185</v>
      </c>
      <c r="G18" s="3">
        <v>46069.612743055557</v>
      </c>
    </row>
    <row r="19" spans="1:7" x14ac:dyDescent="0.25">
      <c r="A19">
        <v>24</v>
      </c>
      <c r="B19">
        <v>63</v>
      </c>
      <c r="C19">
        <v>2</v>
      </c>
      <c r="D19" s="2" t="s">
        <v>189</v>
      </c>
      <c r="E19" s="2" t="s">
        <v>206</v>
      </c>
      <c r="F19" s="2" t="s">
        <v>191</v>
      </c>
      <c r="G19" s="3">
        <v>46069.612743055557</v>
      </c>
    </row>
    <row r="20" spans="1:7" x14ac:dyDescent="0.25">
      <c r="A20">
        <v>25</v>
      </c>
      <c r="B20">
        <v>63</v>
      </c>
      <c r="C20">
        <v>3</v>
      </c>
      <c r="D20" s="2" t="s">
        <v>186</v>
      </c>
      <c r="E20" s="2" t="s">
        <v>207</v>
      </c>
      <c r="F20" s="2" t="s">
        <v>193</v>
      </c>
      <c r="G20" s="3">
        <v>46069.614155092589</v>
      </c>
    </row>
    <row r="21" spans="1:7" x14ac:dyDescent="0.25">
      <c r="A21">
        <v>26</v>
      </c>
      <c r="B21">
        <v>63</v>
      </c>
      <c r="C21">
        <v>3</v>
      </c>
      <c r="D21" s="2" t="s">
        <v>189</v>
      </c>
      <c r="E21" s="2" t="s">
        <v>206</v>
      </c>
      <c r="F21" s="2" t="s">
        <v>191</v>
      </c>
      <c r="G21" s="3">
        <v>46069.614155092589</v>
      </c>
    </row>
    <row r="22" spans="1:7" x14ac:dyDescent="0.25">
      <c r="A22">
        <v>27</v>
      </c>
      <c r="B22">
        <v>63</v>
      </c>
      <c r="C22">
        <v>3</v>
      </c>
      <c r="D22" s="2" t="s">
        <v>183</v>
      </c>
      <c r="E22" s="2" t="s">
        <v>208</v>
      </c>
      <c r="F22" s="2" t="s">
        <v>185</v>
      </c>
      <c r="G22" s="3">
        <v>46069.614155092589</v>
      </c>
    </row>
    <row r="23" spans="1:7" x14ac:dyDescent="0.25">
      <c r="A23">
        <v>31</v>
      </c>
      <c r="B23">
        <v>63</v>
      </c>
      <c r="C23">
        <v>4</v>
      </c>
      <c r="D23" s="2" t="s">
        <v>186</v>
      </c>
      <c r="E23" s="2" t="s">
        <v>209</v>
      </c>
      <c r="F23" s="2" t="s">
        <v>193</v>
      </c>
      <c r="G23" s="3">
        <v>46069.615995370368</v>
      </c>
    </row>
    <row r="24" spans="1:7" x14ac:dyDescent="0.25">
      <c r="A24">
        <v>32</v>
      </c>
      <c r="B24">
        <v>63</v>
      </c>
      <c r="C24">
        <v>4</v>
      </c>
      <c r="D24" s="2" t="s">
        <v>189</v>
      </c>
      <c r="E24" s="2" t="s">
        <v>210</v>
      </c>
      <c r="F24" s="2" t="s">
        <v>191</v>
      </c>
      <c r="G24" s="3">
        <v>46069.615995370368</v>
      </c>
    </row>
    <row r="25" spans="1:7" x14ac:dyDescent="0.25">
      <c r="A25">
        <v>33</v>
      </c>
      <c r="B25">
        <v>63</v>
      </c>
      <c r="C25">
        <v>4</v>
      </c>
      <c r="D25" s="2" t="s">
        <v>183</v>
      </c>
      <c r="E25" s="2" t="s">
        <v>211</v>
      </c>
      <c r="F25" s="2" t="s">
        <v>185</v>
      </c>
      <c r="G25" s="3">
        <v>46069.615995370368</v>
      </c>
    </row>
    <row r="26" spans="1:7" x14ac:dyDescent="0.25">
      <c r="A26">
        <v>34</v>
      </c>
      <c r="B26">
        <v>28</v>
      </c>
      <c r="C26">
        <v>1</v>
      </c>
      <c r="D26" s="2" t="s">
        <v>186</v>
      </c>
      <c r="E26" s="2" t="s">
        <v>212</v>
      </c>
      <c r="F26" s="2" t="s">
        <v>213</v>
      </c>
      <c r="G26" s="3">
        <v>46069.684884259259</v>
      </c>
    </row>
    <row r="27" spans="1:7" x14ac:dyDescent="0.25">
      <c r="A27">
        <v>35</v>
      </c>
      <c r="B27">
        <v>79</v>
      </c>
      <c r="C27">
        <v>1</v>
      </c>
      <c r="D27" s="2" t="s">
        <v>186</v>
      </c>
      <c r="E27" s="2" t="s">
        <v>214</v>
      </c>
      <c r="F27" s="2" t="s">
        <v>188</v>
      </c>
      <c r="G27" s="3">
        <v>46071.374120370368</v>
      </c>
    </row>
    <row r="28" spans="1:7" x14ac:dyDescent="0.25">
      <c r="A28">
        <v>36</v>
      </c>
      <c r="B28">
        <v>79</v>
      </c>
      <c r="C28">
        <v>1</v>
      </c>
      <c r="D28" s="2" t="s">
        <v>189</v>
      </c>
      <c r="E28" s="2" t="s">
        <v>194</v>
      </c>
      <c r="F28" s="2" t="s">
        <v>191</v>
      </c>
      <c r="G28" s="3">
        <v>46071.374120370368</v>
      </c>
    </row>
    <row r="29" spans="1:7" x14ac:dyDescent="0.25">
      <c r="A29">
        <v>37</v>
      </c>
      <c r="B29">
        <v>79</v>
      </c>
      <c r="C29">
        <v>1</v>
      </c>
      <c r="D29" s="2" t="s">
        <v>183</v>
      </c>
      <c r="E29" s="2" t="s">
        <v>215</v>
      </c>
      <c r="F29" s="2" t="s">
        <v>216</v>
      </c>
      <c r="G29" s="3">
        <v>46071.374120370368</v>
      </c>
    </row>
    <row r="30" spans="1:7" x14ac:dyDescent="0.25">
      <c r="A30">
        <v>38</v>
      </c>
      <c r="B30">
        <v>79</v>
      </c>
      <c r="C30">
        <v>2</v>
      </c>
      <c r="D30" s="2" t="s">
        <v>186</v>
      </c>
      <c r="E30" s="2" t="s">
        <v>217</v>
      </c>
      <c r="F30" s="2" t="s">
        <v>193</v>
      </c>
      <c r="G30" s="3">
        <v>46071.374756944446</v>
      </c>
    </row>
    <row r="31" spans="1:7" x14ac:dyDescent="0.25">
      <c r="A31">
        <v>39</v>
      </c>
      <c r="B31">
        <v>79</v>
      </c>
      <c r="C31">
        <v>2</v>
      </c>
      <c r="D31" s="2" t="s">
        <v>183</v>
      </c>
      <c r="E31" s="2" t="s">
        <v>218</v>
      </c>
      <c r="F31" s="2" t="s">
        <v>216</v>
      </c>
      <c r="G31" s="3">
        <v>46071.374756944446</v>
      </c>
    </row>
    <row r="32" spans="1:7" x14ac:dyDescent="0.25">
      <c r="A32">
        <v>40</v>
      </c>
      <c r="B32">
        <v>79</v>
      </c>
      <c r="C32">
        <v>2</v>
      </c>
      <c r="D32" s="2" t="s">
        <v>189</v>
      </c>
      <c r="E32" s="2" t="s">
        <v>200</v>
      </c>
      <c r="F32" s="2" t="s">
        <v>191</v>
      </c>
      <c r="G32" s="3">
        <v>46071.374756944446</v>
      </c>
    </row>
    <row r="33" spans="1:7" x14ac:dyDescent="0.25">
      <c r="A33">
        <v>44</v>
      </c>
      <c r="B33">
        <v>79</v>
      </c>
      <c r="C33">
        <v>3</v>
      </c>
      <c r="D33" s="2" t="s">
        <v>186</v>
      </c>
      <c r="E33" s="2" t="s">
        <v>219</v>
      </c>
      <c r="F33" s="2" t="s">
        <v>193</v>
      </c>
      <c r="G33" s="3">
        <v>46071.376527777778</v>
      </c>
    </row>
    <row r="34" spans="1:7" x14ac:dyDescent="0.25">
      <c r="A34">
        <v>45</v>
      </c>
      <c r="B34">
        <v>79</v>
      </c>
      <c r="C34">
        <v>3</v>
      </c>
      <c r="D34" s="2" t="s">
        <v>189</v>
      </c>
      <c r="E34" s="2" t="s">
        <v>194</v>
      </c>
      <c r="F34" s="2" t="s">
        <v>191</v>
      </c>
      <c r="G34" s="3">
        <v>46071.376527777778</v>
      </c>
    </row>
    <row r="35" spans="1:7" x14ac:dyDescent="0.25">
      <c r="A35">
        <v>46</v>
      </c>
      <c r="B35">
        <v>79</v>
      </c>
      <c r="C35">
        <v>3</v>
      </c>
      <c r="D35" s="2" t="s">
        <v>183</v>
      </c>
      <c r="E35" s="2" t="s">
        <v>220</v>
      </c>
      <c r="F35" s="2" t="s">
        <v>216</v>
      </c>
      <c r="G35" s="3">
        <v>46071.376527777778</v>
      </c>
    </row>
    <row r="36" spans="1:7" x14ac:dyDescent="0.25">
      <c r="A36">
        <v>47</v>
      </c>
      <c r="B36">
        <v>79</v>
      </c>
      <c r="C36">
        <v>4</v>
      </c>
      <c r="D36" s="2" t="s">
        <v>186</v>
      </c>
      <c r="E36" s="2" t="s">
        <v>193</v>
      </c>
      <c r="F36" s="2" t="s">
        <v>193</v>
      </c>
      <c r="G36" s="3">
        <v>46071.37709490741</v>
      </c>
    </row>
    <row r="37" spans="1:7" x14ac:dyDescent="0.25">
      <c r="A37">
        <v>48</v>
      </c>
      <c r="B37">
        <v>79</v>
      </c>
      <c r="C37">
        <v>4</v>
      </c>
      <c r="D37" s="2" t="s">
        <v>183</v>
      </c>
      <c r="E37" s="2" t="s">
        <v>221</v>
      </c>
      <c r="F37" s="2" t="s">
        <v>185</v>
      </c>
      <c r="G37" s="3">
        <v>46071.37709490741</v>
      </c>
    </row>
    <row r="38" spans="1:7" x14ac:dyDescent="0.25">
      <c r="A38">
        <v>49</v>
      </c>
      <c r="B38">
        <v>79</v>
      </c>
      <c r="C38">
        <v>4</v>
      </c>
      <c r="D38" s="2" t="s">
        <v>189</v>
      </c>
      <c r="E38" s="2" t="s">
        <v>222</v>
      </c>
      <c r="F38" s="2" t="s">
        <v>191</v>
      </c>
      <c r="G38" s="3">
        <v>46071.37709490741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57AA-5424-4B75-B2A4-781F8FEE9828}">
  <dimension ref="A3:D5"/>
  <sheetViews>
    <sheetView workbookViewId="0">
      <selection activeCell="O9" sqref="O9"/>
    </sheetView>
  </sheetViews>
  <sheetFormatPr defaultRowHeight="15" x14ac:dyDescent="0.25"/>
  <cols>
    <col min="1" max="2" width="16.28515625" bestFit="1" customWidth="1"/>
    <col min="3" max="3" width="7.7109375" bestFit="1" customWidth="1"/>
    <col min="4" max="4" width="11.28515625" bestFit="1" customWidth="1"/>
    <col min="5" max="5" width="7.85546875" bestFit="1" customWidth="1"/>
    <col min="6" max="6" width="10.42578125" bestFit="1" customWidth="1"/>
    <col min="7" max="7" width="11.28515625" bestFit="1" customWidth="1"/>
  </cols>
  <sheetData>
    <row r="3" spans="1:4" x14ac:dyDescent="0.25">
      <c r="B3" s="6" t="s">
        <v>634</v>
      </c>
    </row>
    <row r="4" spans="1:4" x14ac:dyDescent="0.25">
      <c r="B4" t="s">
        <v>178</v>
      </c>
      <c r="C4" t="s">
        <v>177</v>
      </c>
      <c r="D4" t="s">
        <v>633</v>
      </c>
    </row>
    <row r="5" spans="1:4" x14ac:dyDescent="0.25">
      <c r="A5" t="s">
        <v>642</v>
      </c>
      <c r="B5" s="2">
        <v>1</v>
      </c>
      <c r="C5" s="2">
        <v>2</v>
      </c>
      <c r="D5" s="2">
        <v>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A4B89-B0D8-401F-98C9-E2E8149AC8EA}">
  <dimension ref="A1:J4"/>
  <sheetViews>
    <sheetView workbookViewId="0">
      <selection activeCell="G3" sqref="G3"/>
    </sheetView>
  </sheetViews>
  <sheetFormatPr defaultRowHeight="15" x14ac:dyDescent="0.25"/>
  <cols>
    <col min="1" max="1" width="5" bestFit="1" customWidth="1"/>
    <col min="2" max="2" width="12.85546875" bestFit="1" customWidth="1"/>
    <col min="3" max="6" width="11.42578125" bestFit="1" customWidth="1"/>
    <col min="7" max="7" width="17.7109375" bestFit="1" customWidth="1"/>
    <col min="8" max="8" width="22.140625" bestFit="1" customWidth="1"/>
    <col min="9" max="9" width="10.42578125" bestFit="1" customWidth="1"/>
    <col min="10" max="10" width="14.85546875" bestFit="1" customWidth="1"/>
  </cols>
  <sheetData>
    <row r="1" spans="1:10" x14ac:dyDescent="0.25">
      <c r="A1" t="s">
        <v>0</v>
      </c>
      <c r="B1" t="s">
        <v>1</v>
      </c>
      <c r="C1" t="s">
        <v>170</v>
      </c>
      <c r="D1" t="s">
        <v>171</v>
      </c>
      <c r="E1" t="s">
        <v>172</v>
      </c>
      <c r="F1" t="s">
        <v>173</v>
      </c>
      <c r="G1" t="s">
        <v>174</v>
      </c>
      <c r="H1" t="s">
        <v>175</v>
      </c>
      <c r="I1" t="s">
        <v>4</v>
      </c>
      <c r="J1" t="s">
        <v>176</v>
      </c>
    </row>
    <row r="2" spans="1:10" x14ac:dyDescent="0.25">
      <c r="A2">
        <v>1</v>
      </c>
      <c r="B2">
        <v>53</v>
      </c>
      <c r="C2">
        <v>84.37</v>
      </c>
      <c r="D2">
        <v>92</v>
      </c>
      <c r="E2">
        <v>95.4</v>
      </c>
      <c r="F2">
        <v>97.7</v>
      </c>
      <c r="G2">
        <v>92.37</v>
      </c>
      <c r="H2">
        <v>92</v>
      </c>
      <c r="I2" s="2" t="s">
        <v>177</v>
      </c>
      <c r="J2" s="3">
        <v>46069.604930555557</v>
      </c>
    </row>
    <row r="3" spans="1:10" x14ac:dyDescent="0.25">
      <c r="A3">
        <v>2</v>
      </c>
      <c r="B3">
        <v>63</v>
      </c>
      <c r="C3">
        <v>49.56</v>
      </c>
      <c r="D3">
        <v>59</v>
      </c>
      <c r="E3">
        <v>55.5</v>
      </c>
      <c r="F3">
        <v>67.5</v>
      </c>
      <c r="G3">
        <v>57.89</v>
      </c>
      <c r="H3">
        <v>58</v>
      </c>
      <c r="I3" s="2" t="s">
        <v>178</v>
      </c>
      <c r="J3" s="3">
        <v>46069.616574074076</v>
      </c>
    </row>
    <row r="4" spans="1:10" x14ac:dyDescent="0.25">
      <c r="A4">
        <v>3</v>
      </c>
      <c r="B4">
        <v>79</v>
      </c>
      <c r="C4">
        <v>88.69</v>
      </c>
      <c r="D4">
        <v>85.2</v>
      </c>
      <c r="E4">
        <v>88.34</v>
      </c>
      <c r="F4">
        <v>96.1</v>
      </c>
      <c r="G4">
        <v>89.58</v>
      </c>
      <c r="H4">
        <v>90</v>
      </c>
      <c r="I4" s="2" t="s">
        <v>177</v>
      </c>
      <c r="J4" s="3">
        <v>46071.377430555556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8C3F-F709-4D07-B8B7-ABDD41342FAD}">
  <dimension ref="A1:F6"/>
  <sheetViews>
    <sheetView workbookViewId="0"/>
  </sheetViews>
  <sheetFormatPr defaultRowHeight="15" x14ac:dyDescent="0.25"/>
  <cols>
    <col min="1" max="1" width="5" bestFit="1" customWidth="1"/>
    <col min="2" max="2" width="13.7109375" bestFit="1" customWidth="1"/>
    <col min="3" max="3" width="9.7109375" bestFit="1" customWidth="1"/>
    <col min="4" max="4" width="14.140625" bestFit="1" customWidth="1"/>
    <col min="5" max="5" width="15" bestFit="1" customWidth="1"/>
    <col min="6" max="6" width="14.85546875" bestFit="1" customWidth="1"/>
  </cols>
  <sheetData>
    <row r="1" spans="1:6" x14ac:dyDescent="0.25">
      <c r="A1" t="s">
        <v>0</v>
      </c>
      <c r="B1" t="s">
        <v>5</v>
      </c>
      <c r="C1" t="s">
        <v>6</v>
      </c>
      <c r="D1" t="s">
        <v>160</v>
      </c>
      <c r="E1" t="s">
        <v>161</v>
      </c>
      <c r="F1" t="s">
        <v>7</v>
      </c>
    </row>
    <row r="2" spans="1:6" x14ac:dyDescent="0.25">
      <c r="A2">
        <v>1</v>
      </c>
      <c r="B2" s="2" t="s">
        <v>10</v>
      </c>
      <c r="C2" s="2" t="s">
        <v>11</v>
      </c>
      <c r="D2" s="2" t="s">
        <v>162</v>
      </c>
      <c r="E2" s="2" t="s">
        <v>163</v>
      </c>
      <c r="F2" s="3">
        <v>46068.471863425926</v>
      </c>
    </row>
    <row r="3" spans="1:6" x14ac:dyDescent="0.25">
      <c r="A3">
        <v>2</v>
      </c>
      <c r="B3" s="2" t="s">
        <v>41</v>
      </c>
      <c r="C3" s="2" t="s">
        <v>42</v>
      </c>
      <c r="D3" s="2" t="s">
        <v>164</v>
      </c>
      <c r="E3" s="2" t="s">
        <v>165</v>
      </c>
      <c r="F3" s="3">
        <v>46068.488078703704</v>
      </c>
    </row>
    <row r="4" spans="1:6" x14ac:dyDescent="0.25">
      <c r="A4">
        <v>3</v>
      </c>
      <c r="B4" s="2" t="s">
        <v>16</v>
      </c>
      <c r="C4" s="2" t="s">
        <v>46</v>
      </c>
      <c r="D4" s="2" t="s">
        <v>166</v>
      </c>
      <c r="E4" s="2" t="s">
        <v>167</v>
      </c>
      <c r="F4" s="3">
        <v>46068.488900462966</v>
      </c>
    </row>
    <row r="5" spans="1:6" x14ac:dyDescent="0.25">
      <c r="A5">
        <v>4</v>
      </c>
      <c r="B5" s="2" t="s">
        <v>16</v>
      </c>
      <c r="C5" s="2" t="s">
        <v>17</v>
      </c>
      <c r="D5" s="2" t="s">
        <v>166</v>
      </c>
      <c r="E5" s="2" t="s">
        <v>167</v>
      </c>
      <c r="F5" s="3">
        <v>46068.489328703705</v>
      </c>
    </row>
    <row r="6" spans="1:6" x14ac:dyDescent="0.25">
      <c r="A6">
        <v>5</v>
      </c>
      <c r="B6" s="2" t="s">
        <v>13</v>
      </c>
      <c r="C6" s="2" t="s">
        <v>14</v>
      </c>
      <c r="D6" s="2" t="s">
        <v>168</v>
      </c>
      <c r="E6" s="2" t="s">
        <v>169</v>
      </c>
      <c r="F6" s="3">
        <v>46068.489768518521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B18B-9980-479E-A569-783D7B5DB327}">
  <dimension ref="A3:B19"/>
  <sheetViews>
    <sheetView workbookViewId="0">
      <selection activeCell="A19" sqref="A19"/>
    </sheetView>
  </sheetViews>
  <sheetFormatPr defaultRowHeight="15" x14ac:dyDescent="0.25"/>
  <cols>
    <col min="1" max="1" width="18.42578125" bestFit="1" customWidth="1"/>
    <col min="2" max="2" width="15.42578125" bestFit="1" customWidth="1"/>
  </cols>
  <sheetData>
    <row r="3" spans="1:2" x14ac:dyDescent="0.25">
      <c r="A3" s="6" t="s">
        <v>632</v>
      </c>
      <c r="B3" t="s">
        <v>637</v>
      </c>
    </row>
    <row r="4" spans="1:2" x14ac:dyDescent="0.25">
      <c r="A4" s="7" t="s">
        <v>54</v>
      </c>
      <c r="B4" s="2">
        <v>35</v>
      </c>
    </row>
    <row r="5" spans="1:2" x14ac:dyDescent="0.25">
      <c r="A5" s="7" t="s">
        <v>29</v>
      </c>
      <c r="B5" s="2">
        <v>44</v>
      </c>
    </row>
    <row r="6" spans="1:2" x14ac:dyDescent="0.25">
      <c r="A6" s="7" t="s">
        <v>633</v>
      </c>
      <c r="B6" s="2">
        <v>79</v>
      </c>
    </row>
    <row r="18" spans="1:1" x14ac:dyDescent="0.25">
      <c r="A18" t="s">
        <v>638</v>
      </c>
    </row>
    <row r="19" spans="1:1" x14ac:dyDescent="0.25">
      <c r="A19" s="2">
        <v>79</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7A04D-0E62-4395-8D92-99603535C372}">
  <dimension ref="A1:J80"/>
  <sheetViews>
    <sheetView topLeftCell="A2" workbookViewId="0">
      <selection activeCell="F12" sqref="F12"/>
    </sheetView>
  </sheetViews>
  <sheetFormatPr defaultRowHeight="15" x14ac:dyDescent="0.25"/>
  <cols>
    <col min="1" max="1" width="5" bestFit="1" customWidth="1"/>
    <col min="2" max="2" width="10.140625" bestFit="1" customWidth="1"/>
    <col min="3" max="3" width="12.85546875" bestFit="1" customWidth="1"/>
    <col min="4" max="4" width="12.42578125" bestFit="1" customWidth="1"/>
    <col min="5" max="5" width="15.7109375" bestFit="1" customWidth="1"/>
    <col min="6" max="6" width="9.5703125" bestFit="1" customWidth="1"/>
    <col min="7" max="7" width="15.5703125" bestFit="1" customWidth="1"/>
    <col min="8" max="8" width="13.7109375" bestFit="1" customWidth="1"/>
    <col min="9" max="9" width="9.7109375" bestFit="1" customWidth="1"/>
    <col min="10" max="10" width="14.85546875" bestFit="1" customWidth="1"/>
  </cols>
  <sheetData>
    <row r="1" spans="1:10" x14ac:dyDescent="0.25">
      <c r="A1" t="s">
        <v>0</v>
      </c>
      <c r="B1" t="s">
        <v>18</v>
      </c>
      <c r="C1" t="s">
        <v>22</v>
      </c>
      <c r="D1" t="s">
        <v>23</v>
      </c>
      <c r="E1" t="s">
        <v>24</v>
      </c>
      <c r="F1" t="s">
        <v>25</v>
      </c>
      <c r="G1" t="s">
        <v>1</v>
      </c>
      <c r="H1" t="s">
        <v>5</v>
      </c>
      <c r="I1" t="s">
        <v>6</v>
      </c>
      <c r="J1" t="s">
        <v>7</v>
      </c>
    </row>
    <row r="2" spans="1:10" x14ac:dyDescent="0.25">
      <c r="A2">
        <v>1</v>
      </c>
      <c r="B2">
        <v>1</v>
      </c>
      <c r="C2" s="2" t="s">
        <v>26</v>
      </c>
      <c r="D2" s="2" t="s">
        <v>27</v>
      </c>
      <c r="E2" s="2" t="s">
        <v>28</v>
      </c>
      <c r="F2" s="2" t="s">
        <v>29</v>
      </c>
      <c r="G2" s="2" t="s">
        <v>30</v>
      </c>
      <c r="H2" s="2" t="s">
        <v>10</v>
      </c>
      <c r="I2" s="2" t="s">
        <v>11</v>
      </c>
      <c r="J2" s="3">
        <v>46068.47320601852</v>
      </c>
    </row>
    <row r="3" spans="1:10" x14ac:dyDescent="0.25">
      <c r="A3">
        <v>2</v>
      </c>
      <c r="B3">
        <v>1</v>
      </c>
      <c r="C3" s="2" t="s">
        <v>31</v>
      </c>
      <c r="D3" s="2" t="s">
        <v>32</v>
      </c>
      <c r="E3" s="2" t="s">
        <v>33</v>
      </c>
      <c r="F3" s="2" t="s">
        <v>29</v>
      </c>
      <c r="G3" s="2" t="s">
        <v>34</v>
      </c>
      <c r="H3" s="2" t="s">
        <v>10</v>
      </c>
      <c r="I3" s="2" t="s">
        <v>11</v>
      </c>
      <c r="J3" s="3">
        <v>46068.479710648149</v>
      </c>
    </row>
    <row r="4" spans="1:10" x14ac:dyDescent="0.25">
      <c r="A4">
        <v>3</v>
      </c>
      <c r="B4">
        <v>1</v>
      </c>
      <c r="C4" s="2" t="s">
        <v>35</v>
      </c>
      <c r="D4" s="2" t="s">
        <v>36</v>
      </c>
      <c r="E4" s="2"/>
      <c r="F4" s="2" t="s">
        <v>29</v>
      </c>
      <c r="G4" s="2" t="s">
        <v>37</v>
      </c>
      <c r="H4" s="2" t="s">
        <v>10</v>
      </c>
      <c r="I4" s="2" t="s">
        <v>11</v>
      </c>
      <c r="J4" s="3">
        <v>46068.497175925928</v>
      </c>
    </row>
    <row r="5" spans="1:10" x14ac:dyDescent="0.25">
      <c r="A5">
        <v>4</v>
      </c>
      <c r="B5">
        <v>2</v>
      </c>
      <c r="C5" s="2" t="s">
        <v>38</v>
      </c>
      <c r="D5" s="2" t="s">
        <v>39</v>
      </c>
      <c r="E5" s="2"/>
      <c r="F5" s="2" t="s">
        <v>29</v>
      </c>
      <c r="G5" s="2" t="s">
        <v>40</v>
      </c>
      <c r="H5" s="2" t="s">
        <v>41</v>
      </c>
      <c r="I5" s="2" t="s">
        <v>42</v>
      </c>
      <c r="J5" s="3">
        <v>46068.497175925928</v>
      </c>
    </row>
    <row r="6" spans="1:10" x14ac:dyDescent="0.25">
      <c r="A6">
        <v>5</v>
      </c>
      <c r="B6">
        <v>3</v>
      </c>
      <c r="C6" s="2" t="s">
        <v>43</v>
      </c>
      <c r="D6" s="2" t="s">
        <v>44</v>
      </c>
      <c r="E6" s="2"/>
      <c r="F6" s="2" t="s">
        <v>29</v>
      </c>
      <c r="G6" s="2" t="s">
        <v>45</v>
      </c>
      <c r="H6" s="2" t="s">
        <v>16</v>
      </c>
      <c r="I6" s="2" t="s">
        <v>46</v>
      </c>
      <c r="J6" s="3">
        <v>46068.497175925928</v>
      </c>
    </row>
    <row r="7" spans="1:10" x14ac:dyDescent="0.25">
      <c r="A7">
        <v>6</v>
      </c>
      <c r="B7">
        <v>4</v>
      </c>
      <c r="C7" s="2" t="s">
        <v>47</v>
      </c>
      <c r="D7" s="2" t="s">
        <v>48</v>
      </c>
      <c r="E7" s="2"/>
      <c r="F7" s="2" t="s">
        <v>29</v>
      </c>
      <c r="G7" s="2" t="s">
        <v>49</v>
      </c>
      <c r="H7" s="2" t="s">
        <v>16</v>
      </c>
      <c r="I7" s="2" t="s">
        <v>17</v>
      </c>
      <c r="J7" s="3">
        <v>46068.497175925928</v>
      </c>
    </row>
    <row r="8" spans="1:10" x14ac:dyDescent="0.25">
      <c r="A8">
        <v>7</v>
      </c>
      <c r="B8">
        <v>5</v>
      </c>
      <c r="C8" s="2" t="s">
        <v>50</v>
      </c>
      <c r="D8" s="2" t="s">
        <v>51</v>
      </c>
      <c r="E8" s="2"/>
      <c r="F8" s="2" t="s">
        <v>29</v>
      </c>
      <c r="G8" s="2" t="s">
        <v>52</v>
      </c>
      <c r="H8" s="2" t="s">
        <v>13</v>
      </c>
      <c r="I8" s="2" t="s">
        <v>14</v>
      </c>
      <c r="J8" s="3">
        <v>46068.497175925928</v>
      </c>
    </row>
    <row r="9" spans="1:10" x14ac:dyDescent="0.25">
      <c r="A9">
        <v>8</v>
      </c>
      <c r="B9">
        <v>1</v>
      </c>
      <c r="C9" s="2" t="s">
        <v>53</v>
      </c>
      <c r="D9" s="2" t="s">
        <v>51</v>
      </c>
      <c r="E9" s="2"/>
      <c r="F9" s="2" t="s">
        <v>54</v>
      </c>
      <c r="G9" s="2" t="s">
        <v>55</v>
      </c>
      <c r="H9" s="2" t="s">
        <v>10</v>
      </c>
      <c r="I9" s="2" t="s">
        <v>11</v>
      </c>
      <c r="J9" s="3">
        <v>46068.497175925928</v>
      </c>
    </row>
    <row r="10" spans="1:10" x14ac:dyDescent="0.25">
      <c r="A10">
        <v>9</v>
      </c>
      <c r="B10">
        <v>2</v>
      </c>
      <c r="C10" s="2" t="s">
        <v>56</v>
      </c>
      <c r="D10" s="2" t="s">
        <v>57</v>
      </c>
      <c r="E10" s="2"/>
      <c r="F10" s="2" t="s">
        <v>54</v>
      </c>
      <c r="G10" s="2" t="s">
        <v>58</v>
      </c>
      <c r="H10" s="2" t="s">
        <v>41</v>
      </c>
      <c r="I10" s="2" t="s">
        <v>42</v>
      </c>
      <c r="J10" s="3">
        <v>46068.497175925928</v>
      </c>
    </row>
    <row r="11" spans="1:10" x14ac:dyDescent="0.25">
      <c r="A11">
        <v>10</v>
      </c>
      <c r="B11">
        <v>3</v>
      </c>
      <c r="C11" s="2" t="s">
        <v>59</v>
      </c>
      <c r="D11" s="2" t="s">
        <v>60</v>
      </c>
      <c r="E11" s="2"/>
      <c r="F11" s="2" t="s">
        <v>54</v>
      </c>
      <c r="G11" s="2" t="s">
        <v>61</v>
      </c>
      <c r="H11" s="2" t="s">
        <v>16</v>
      </c>
      <c r="I11" s="2" t="s">
        <v>46</v>
      </c>
      <c r="J11" s="3">
        <v>46068.497175925928</v>
      </c>
    </row>
    <row r="12" spans="1:10" x14ac:dyDescent="0.25">
      <c r="A12">
        <v>11</v>
      </c>
      <c r="B12">
        <v>4</v>
      </c>
      <c r="C12" s="2" t="s">
        <v>62</v>
      </c>
      <c r="D12" s="2" t="s">
        <v>63</v>
      </c>
      <c r="E12" s="2"/>
      <c r="F12" s="2" t="s">
        <v>54</v>
      </c>
      <c r="G12" s="2" t="s">
        <v>64</v>
      </c>
      <c r="H12" s="2" t="s">
        <v>16</v>
      </c>
      <c r="I12" s="2" t="s">
        <v>17</v>
      </c>
      <c r="J12" s="3">
        <v>46068.497175925928</v>
      </c>
    </row>
    <row r="13" spans="1:10" x14ac:dyDescent="0.25">
      <c r="A13">
        <v>12</v>
      </c>
      <c r="B13">
        <v>5</v>
      </c>
      <c r="C13" s="2" t="s">
        <v>59</v>
      </c>
      <c r="D13" s="2" t="s">
        <v>65</v>
      </c>
      <c r="E13" s="2"/>
      <c r="F13" s="2" t="s">
        <v>54</v>
      </c>
      <c r="G13" s="2" t="s">
        <v>66</v>
      </c>
      <c r="H13" s="2" t="s">
        <v>13</v>
      </c>
      <c r="I13" s="2" t="s">
        <v>14</v>
      </c>
      <c r="J13" s="3">
        <v>46068.497175925928</v>
      </c>
    </row>
    <row r="14" spans="1:10" x14ac:dyDescent="0.25">
      <c r="A14">
        <v>13</v>
      </c>
      <c r="B14">
        <v>1</v>
      </c>
      <c r="C14" s="2" t="s">
        <v>67</v>
      </c>
      <c r="D14" s="2" t="s">
        <v>68</v>
      </c>
      <c r="E14" s="2"/>
      <c r="F14" s="2" t="s">
        <v>29</v>
      </c>
      <c r="G14" s="2" t="s">
        <v>69</v>
      </c>
      <c r="H14" s="2" t="s">
        <v>10</v>
      </c>
      <c r="I14" s="2" t="s">
        <v>11</v>
      </c>
      <c r="J14" s="3">
        <v>46068.497175925928</v>
      </c>
    </row>
    <row r="15" spans="1:10" x14ac:dyDescent="0.25">
      <c r="A15">
        <v>14</v>
      </c>
      <c r="B15">
        <v>2</v>
      </c>
      <c r="C15" s="2" t="s">
        <v>53</v>
      </c>
      <c r="D15" s="2" t="s">
        <v>70</v>
      </c>
      <c r="E15" s="2"/>
      <c r="F15" s="2" t="s">
        <v>29</v>
      </c>
      <c r="G15" s="2" t="s">
        <v>71</v>
      </c>
      <c r="H15" s="2" t="s">
        <v>41</v>
      </c>
      <c r="I15" s="2" t="s">
        <v>42</v>
      </c>
      <c r="J15" s="3">
        <v>46068.497175925928</v>
      </c>
    </row>
    <row r="16" spans="1:10" x14ac:dyDescent="0.25">
      <c r="A16">
        <v>15</v>
      </c>
      <c r="B16">
        <v>3</v>
      </c>
      <c r="C16" s="2" t="s">
        <v>50</v>
      </c>
      <c r="D16" s="2" t="s">
        <v>72</v>
      </c>
      <c r="E16" s="2"/>
      <c r="F16" s="2" t="s">
        <v>29</v>
      </c>
      <c r="G16" s="2" t="s">
        <v>73</v>
      </c>
      <c r="H16" s="2" t="s">
        <v>16</v>
      </c>
      <c r="I16" s="2" t="s">
        <v>46</v>
      </c>
      <c r="J16" s="3">
        <v>46068.497175925928</v>
      </c>
    </row>
    <row r="17" spans="1:10" x14ac:dyDescent="0.25">
      <c r="A17">
        <v>16</v>
      </c>
      <c r="B17">
        <v>4</v>
      </c>
      <c r="C17" s="2" t="s">
        <v>67</v>
      </c>
      <c r="D17" s="2" t="s">
        <v>74</v>
      </c>
      <c r="E17" s="2"/>
      <c r="F17" s="2" t="s">
        <v>29</v>
      </c>
      <c r="G17" s="2" t="s">
        <v>75</v>
      </c>
      <c r="H17" s="2" t="s">
        <v>16</v>
      </c>
      <c r="I17" s="2" t="s">
        <v>17</v>
      </c>
      <c r="J17" s="3">
        <v>46068.497175925928</v>
      </c>
    </row>
    <row r="18" spans="1:10" x14ac:dyDescent="0.25">
      <c r="A18">
        <v>17</v>
      </c>
      <c r="B18">
        <v>5</v>
      </c>
      <c r="C18" s="2" t="s">
        <v>76</v>
      </c>
      <c r="D18" s="2" t="s">
        <v>48</v>
      </c>
      <c r="E18" s="2"/>
      <c r="F18" s="2" t="s">
        <v>29</v>
      </c>
      <c r="G18" s="2" t="s">
        <v>77</v>
      </c>
      <c r="H18" s="2" t="s">
        <v>13</v>
      </c>
      <c r="I18" s="2" t="s">
        <v>14</v>
      </c>
      <c r="J18" s="3">
        <v>46068.497175925928</v>
      </c>
    </row>
    <row r="19" spans="1:10" x14ac:dyDescent="0.25">
      <c r="A19">
        <v>18</v>
      </c>
      <c r="B19">
        <v>1</v>
      </c>
      <c r="C19" s="2" t="s">
        <v>78</v>
      </c>
      <c r="D19" s="2" t="s">
        <v>79</v>
      </c>
      <c r="E19" s="2"/>
      <c r="F19" s="2" t="s">
        <v>54</v>
      </c>
      <c r="G19" s="2" t="s">
        <v>80</v>
      </c>
      <c r="H19" s="2" t="s">
        <v>10</v>
      </c>
      <c r="I19" s="2" t="s">
        <v>11</v>
      </c>
      <c r="J19" s="3">
        <v>46068.497175925928</v>
      </c>
    </row>
    <row r="20" spans="1:10" x14ac:dyDescent="0.25">
      <c r="A20">
        <v>19</v>
      </c>
      <c r="B20">
        <v>2</v>
      </c>
      <c r="C20" s="2" t="s">
        <v>81</v>
      </c>
      <c r="D20" s="2" t="s">
        <v>68</v>
      </c>
      <c r="E20" s="2"/>
      <c r="F20" s="2" t="s">
        <v>54</v>
      </c>
      <c r="G20" s="2" t="s">
        <v>82</v>
      </c>
      <c r="H20" s="2" t="s">
        <v>41</v>
      </c>
      <c r="I20" s="2" t="s">
        <v>42</v>
      </c>
      <c r="J20" s="3">
        <v>46068.497175925928</v>
      </c>
    </row>
    <row r="21" spans="1:10" x14ac:dyDescent="0.25">
      <c r="A21">
        <v>20</v>
      </c>
      <c r="B21">
        <v>3</v>
      </c>
      <c r="C21" s="2" t="s">
        <v>83</v>
      </c>
      <c r="D21" s="2" t="s">
        <v>57</v>
      </c>
      <c r="E21" s="2"/>
      <c r="F21" s="2" t="s">
        <v>54</v>
      </c>
      <c r="G21" s="2" t="s">
        <v>84</v>
      </c>
      <c r="H21" s="2" t="s">
        <v>16</v>
      </c>
      <c r="I21" s="2" t="s">
        <v>46</v>
      </c>
      <c r="J21" s="3">
        <v>46068.497175925928</v>
      </c>
    </row>
    <row r="22" spans="1:10" x14ac:dyDescent="0.25">
      <c r="A22">
        <v>21</v>
      </c>
      <c r="B22">
        <v>4</v>
      </c>
      <c r="C22" s="2" t="s">
        <v>85</v>
      </c>
      <c r="D22" s="2" t="s">
        <v>70</v>
      </c>
      <c r="E22" s="2"/>
      <c r="F22" s="2" t="s">
        <v>54</v>
      </c>
      <c r="G22" s="2" t="s">
        <v>86</v>
      </c>
      <c r="H22" s="2" t="s">
        <v>16</v>
      </c>
      <c r="I22" s="2" t="s">
        <v>17</v>
      </c>
      <c r="J22" s="3">
        <v>46068.497175925928</v>
      </c>
    </row>
    <row r="23" spans="1:10" x14ac:dyDescent="0.25">
      <c r="A23">
        <v>22</v>
      </c>
      <c r="B23">
        <v>5</v>
      </c>
      <c r="C23" s="2" t="s">
        <v>67</v>
      </c>
      <c r="D23" s="2" t="s">
        <v>44</v>
      </c>
      <c r="E23" s="2"/>
      <c r="F23" s="2" t="s">
        <v>54</v>
      </c>
      <c r="G23" s="2" t="s">
        <v>87</v>
      </c>
      <c r="H23" s="2" t="s">
        <v>13</v>
      </c>
      <c r="I23" s="2" t="s">
        <v>14</v>
      </c>
      <c r="J23" s="3">
        <v>46068.497175925928</v>
      </c>
    </row>
    <row r="24" spans="1:10" x14ac:dyDescent="0.25">
      <c r="A24">
        <v>23</v>
      </c>
      <c r="B24">
        <v>1</v>
      </c>
      <c r="C24" s="2" t="s">
        <v>85</v>
      </c>
      <c r="D24" s="2" t="s">
        <v>79</v>
      </c>
      <c r="E24" s="2"/>
      <c r="F24" s="2" t="s">
        <v>29</v>
      </c>
      <c r="G24" s="2" t="s">
        <v>88</v>
      </c>
      <c r="H24" s="2" t="s">
        <v>10</v>
      </c>
      <c r="I24" s="2" t="s">
        <v>11</v>
      </c>
      <c r="J24" s="3">
        <v>46068.497175925928</v>
      </c>
    </row>
    <row r="25" spans="1:10" x14ac:dyDescent="0.25">
      <c r="A25">
        <v>24</v>
      </c>
      <c r="B25">
        <v>2</v>
      </c>
      <c r="C25" s="2" t="s">
        <v>47</v>
      </c>
      <c r="D25" s="2" t="s">
        <v>89</v>
      </c>
      <c r="E25" s="2"/>
      <c r="F25" s="2" t="s">
        <v>29</v>
      </c>
      <c r="G25" s="2" t="s">
        <v>90</v>
      </c>
      <c r="H25" s="2" t="s">
        <v>41</v>
      </c>
      <c r="I25" s="2" t="s">
        <v>42</v>
      </c>
      <c r="J25" s="3">
        <v>46068.497175925928</v>
      </c>
    </row>
    <row r="26" spans="1:10" x14ac:dyDescent="0.25">
      <c r="A26">
        <v>25</v>
      </c>
      <c r="B26">
        <v>3</v>
      </c>
      <c r="C26" s="2" t="s">
        <v>85</v>
      </c>
      <c r="D26" s="2" t="s">
        <v>91</v>
      </c>
      <c r="E26" s="2"/>
      <c r="F26" s="2" t="s">
        <v>29</v>
      </c>
      <c r="G26" s="2" t="s">
        <v>92</v>
      </c>
      <c r="H26" s="2" t="s">
        <v>16</v>
      </c>
      <c r="I26" s="2" t="s">
        <v>46</v>
      </c>
      <c r="J26" s="3">
        <v>46068.497175925928</v>
      </c>
    </row>
    <row r="27" spans="1:10" x14ac:dyDescent="0.25">
      <c r="A27">
        <v>26</v>
      </c>
      <c r="B27">
        <v>4</v>
      </c>
      <c r="C27" s="2" t="s">
        <v>56</v>
      </c>
      <c r="D27" s="2" t="s">
        <v>65</v>
      </c>
      <c r="E27" s="2"/>
      <c r="F27" s="2" t="s">
        <v>29</v>
      </c>
      <c r="G27" s="2" t="s">
        <v>93</v>
      </c>
      <c r="H27" s="2" t="s">
        <v>16</v>
      </c>
      <c r="I27" s="2" t="s">
        <v>17</v>
      </c>
      <c r="J27" s="3">
        <v>46068.497175925928</v>
      </c>
    </row>
    <row r="28" spans="1:10" x14ac:dyDescent="0.25">
      <c r="A28">
        <v>27</v>
      </c>
      <c r="B28">
        <v>5</v>
      </c>
      <c r="C28" s="2" t="s">
        <v>53</v>
      </c>
      <c r="D28" s="2" t="s">
        <v>94</v>
      </c>
      <c r="E28" s="2"/>
      <c r="F28" s="2" t="s">
        <v>29</v>
      </c>
      <c r="G28" s="2" t="s">
        <v>95</v>
      </c>
      <c r="H28" s="2" t="s">
        <v>13</v>
      </c>
      <c r="I28" s="2" t="s">
        <v>14</v>
      </c>
      <c r="J28" s="3">
        <v>46068.497175925928</v>
      </c>
    </row>
    <row r="29" spans="1:10" x14ac:dyDescent="0.25">
      <c r="A29">
        <v>28</v>
      </c>
      <c r="B29">
        <v>1</v>
      </c>
      <c r="C29" s="2" t="s">
        <v>85</v>
      </c>
      <c r="D29" s="2" t="s">
        <v>89</v>
      </c>
      <c r="E29" s="2"/>
      <c r="F29" s="2" t="s">
        <v>54</v>
      </c>
      <c r="G29" s="2" t="s">
        <v>96</v>
      </c>
      <c r="H29" s="2" t="s">
        <v>10</v>
      </c>
      <c r="I29" s="2" t="s">
        <v>11</v>
      </c>
      <c r="J29" s="3">
        <v>46068.497175925928</v>
      </c>
    </row>
    <row r="30" spans="1:10" x14ac:dyDescent="0.25">
      <c r="A30">
        <v>29</v>
      </c>
      <c r="B30">
        <v>2</v>
      </c>
      <c r="C30" s="2" t="s">
        <v>97</v>
      </c>
      <c r="D30" s="2" t="s">
        <v>94</v>
      </c>
      <c r="E30" s="2"/>
      <c r="F30" s="2" t="s">
        <v>54</v>
      </c>
      <c r="G30" s="2" t="s">
        <v>98</v>
      </c>
      <c r="H30" s="2" t="s">
        <v>41</v>
      </c>
      <c r="I30" s="2" t="s">
        <v>42</v>
      </c>
      <c r="J30" s="3">
        <v>46068.497175925928</v>
      </c>
    </row>
    <row r="31" spans="1:10" x14ac:dyDescent="0.25">
      <c r="A31">
        <v>30</v>
      </c>
      <c r="B31">
        <v>3</v>
      </c>
      <c r="C31" s="2" t="s">
        <v>35</v>
      </c>
      <c r="D31" s="2" t="s">
        <v>99</v>
      </c>
      <c r="E31" s="2"/>
      <c r="F31" s="2" t="s">
        <v>54</v>
      </c>
      <c r="G31" s="2" t="s">
        <v>100</v>
      </c>
      <c r="H31" s="2" t="s">
        <v>16</v>
      </c>
      <c r="I31" s="2" t="s">
        <v>46</v>
      </c>
      <c r="J31" s="3">
        <v>46068.497175925928</v>
      </c>
    </row>
    <row r="32" spans="1:10" x14ac:dyDescent="0.25">
      <c r="A32">
        <v>31</v>
      </c>
      <c r="B32">
        <v>4</v>
      </c>
      <c r="C32" s="2" t="s">
        <v>78</v>
      </c>
      <c r="D32" s="2" t="s">
        <v>101</v>
      </c>
      <c r="E32" s="2"/>
      <c r="F32" s="2" t="s">
        <v>54</v>
      </c>
      <c r="G32" s="2" t="s">
        <v>102</v>
      </c>
      <c r="H32" s="2" t="s">
        <v>16</v>
      </c>
      <c r="I32" s="2" t="s">
        <v>17</v>
      </c>
      <c r="J32" s="3">
        <v>46068.497175925928</v>
      </c>
    </row>
    <row r="33" spans="1:10" x14ac:dyDescent="0.25">
      <c r="A33">
        <v>32</v>
      </c>
      <c r="B33">
        <v>5</v>
      </c>
      <c r="C33" s="2" t="s">
        <v>103</v>
      </c>
      <c r="D33" s="2" t="s">
        <v>94</v>
      </c>
      <c r="E33" s="2"/>
      <c r="F33" s="2" t="s">
        <v>54</v>
      </c>
      <c r="G33" s="2" t="s">
        <v>104</v>
      </c>
      <c r="H33" s="2" t="s">
        <v>13</v>
      </c>
      <c r="I33" s="2" t="s">
        <v>14</v>
      </c>
      <c r="J33" s="3">
        <v>46068.497175925928</v>
      </c>
    </row>
    <row r="34" spans="1:10" x14ac:dyDescent="0.25">
      <c r="A34">
        <v>33</v>
      </c>
      <c r="B34">
        <v>1</v>
      </c>
      <c r="C34" s="2" t="s">
        <v>53</v>
      </c>
      <c r="D34" s="2" t="s">
        <v>51</v>
      </c>
      <c r="E34" s="2"/>
      <c r="F34" s="2" t="s">
        <v>29</v>
      </c>
      <c r="G34" s="2" t="s">
        <v>105</v>
      </c>
      <c r="H34" s="2" t="s">
        <v>10</v>
      </c>
      <c r="I34" s="2" t="s">
        <v>11</v>
      </c>
      <c r="J34" s="3">
        <v>46068.497175925928</v>
      </c>
    </row>
    <row r="35" spans="1:10" x14ac:dyDescent="0.25">
      <c r="A35">
        <v>34</v>
      </c>
      <c r="B35">
        <v>2</v>
      </c>
      <c r="C35" s="2" t="s">
        <v>50</v>
      </c>
      <c r="D35" s="2" t="s">
        <v>48</v>
      </c>
      <c r="E35" s="2"/>
      <c r="F35" s="2" t="s">
        <v>29</v>
      </c>
      <c r="G35" s="2" t="s">
        <v>106</v>
      </c>
      <c r="H35" s="2" t="s">
        <v>41</v>
      </c>
      <c r="I35" s="2" t="s">
        <v>42</v>
      </c>
      <c r="J35" s="3">
        <v>46068.497175925928</v>
      </c>
    </row>
    <row r="36" spans="1:10" x14ac:dyDescent="0.25">
      <c r="A36">
        <v>35</v>
      </c>
      <c r="B36">
        <v>3</v>
      </c>
      <c r="C36" s="2" t="s">
        <v>103</v>
      </c>
      <c r="D36" s="2" t="s">
        <v>91</v>
      </c>
      <c r="E36" s="2"/>
      <c r="F36" s="2" t="s">
        <v>29</v>
      </c>
      <c r="G36" s="2" t="s">
        <v>107</v>
      </c>
      <c r="H36" s="2" t="s">
        <v>16</v>
      </c>
      <c r="I36" s="2" t="s">
        <v>46</v>
      </c>
      <c r="J36" s="3">
        <v>46068.497175925928</v>
      </c>
    </row>
    <row r="37" spans="1:10" x14ac:dyDescent="0.25">
      <c r="A37">
        <v>36</v>
      </c>
      <c r="B37">
        <v>4</v>
      </c>
      <c r="C37" s="2" t="s">
        <v>50</v>
      </c>
      <c r="D37" s="2" t="s">
        <v>39</v>
      </c>
      <c r="E37" s="2"/>
      <c r="F37" s="2" t="s">
        <v>29</v>
      </c>
      <c r="G37" s="2" t="s">
        <v>108</v>
      </c>
      <c r="H37" s="2" t="s">
        <v>16</v>
      </c>
      <c r="I37" s="2" t="s">
        <v>17</v>
      </c>
      <c r="J37" s="3">
        <v>46068.497175925928</v>
      </c>
    </row>
    <row r="38" spans="1:10" x14ac:dyDescent="0.25">
      <c r="A38">
        <v>37</v>
      </c>
      <c r="B38">
        <v>5</v>
      </c>
      <c r="C38" s="2" t="s">
        <v>38</v>
      </c>
      <c r="D38" s="2" t="s">
        <v>109</v>
      </c>
      <c r="E38" s="2"/>
      <c r="F38" s="2" t="s">
        <v>29</v>
      </c>
      <c r="G38" s="2" t="s">
        <v>110</v>
      </c>
      <c r="H38" s="2" t="s">
        <v>13</v>
      </c>
      <c r="I38" s="2" t="s">
        <v>14</v>
      </c>
      <c r="J38" s="3">
        <v>46068.497175925928</v>
      </c>
    </row>
    <row r="39" spans="1:10" x14ac:dyDescent="0.25">
      <c r="A39">
        <v>38</v>
      </c>
      <c r="B39">
        <v>1</v>
      </c>
      <c r="C39" s="2" t="s">
        <v>62</v>
      </c>
      <c r="D39" s="2" t="s">
        <v>60</v>
      </c>
      <c r="E39" s="2"/>
      <c r="F39" s="2" t="s">
        <v>54</v>
      </c>
      <c r="G39" s="2" t="s">
        <v>111</v>
      </c>
      <c r="H39" s="2" t="s">
        <v>10</v>
      </c>
      <c r="I39" s="2" t="s">
        <v>11</v>
      </c>
      <c r="J39" s="3">
        <v>46068.497175925928</v>
      </c>
    </row>
    <row r="40" spans="1:10" x14ac:dyDescent="0.25">
      <c r="A40">
        <v>39</v>
      </c>
      <c r="B40">
        <v>2</v>
      </c>
      <c r="C40" s="2" t="s">
        <v>83</v>
      </c>
      <c r="D40" s="2" t="s">
        <v>60</v>
      </c>
      <c r="E40" s="2"/>
      <c r="F40" s="2" t="s">
        <v>54</v>
      </c>
      <c r="G40" s="2" t="s">
        <v>112</v>
      </c>
      <c r="H40" s="2" t="s">
        <v>41</v>
      </c>
      <c r="I40" s="2" t="s">
        <v>42</v>
      </c>
      <c r="J40" s="3">
        <v>46068.497175925928</v>
      </c>
    </row>
    <row r="41" spans="1:10" x14ac:dyDescent="0.25">
      <c r="A41">
        <v>40</v>
      </c>
      <c r="B41">
        <v>3</v>
      </c>
      <c r="C41" s="2" t="s">
        <v>47</v>
      </c>
      <c r="D41" s="2" t="s">
        <v>48</v>
      </c>
      <c r="E41" s="2"/>
      <c r="F41" s="2" t="s">
        <v>54</v>
      </c>
      <c r="G41" s="2" t="s">
        <v>113</v>
      </c>
      <c r="H41" s="2" t="s">
        <v>16</v>
      </c>
      <c r="I41" s="2" t="s">
        <v>46</v>
      </c>
      <c r="J41" s="3">
        <v>46068.497175925928</v>
      </c>
    </row>
    <row r="42" spans="1:10" x14ac:dyDescent="0.25">
      <c r="A42">
        <v>41</v>
      </c>
      <c r="B42">
        <v>4</v>
      </c>
      <c r="C42" s="2" t="s">
        <v>103</v>
      </c>
      <c r="D42" s="2" t="s">
        <v>99</v>
      </c>
      <c r="E42" s="2"/>
      <c r="F42" s="2" t="s">
        <v>54</v>
      </c>
      <c r="G42" s="2" t="s">
        <v>114</v>
      </c>
      <c r="H42" s="2" t="s">
        <v>16</v>
      </c>
      <c r="I42" s="2" t="s">
        <v>17</v>
      </c>
      <c r="J42" s="3">
        <v>46068.497175925928</v>
      </c>
    </row>
    <row r="43" spans="1:10" x14ac:dyDescent="0.25">
      <c r="A43">
        <v>42</v>
      </c>
      <c r="B43">
        <v>5</v>
      </c>
      <c r="C43" s="2" t="s">
        <v>47</v>
      </c>
      <c r="D43" s="2" t="s">
        <v>91</v>
      </c>
      <c r="E43" s="2"/>
      <c r="F43" s="2" t="s">
        <v>54</v>
      </c>
      <c r="G43" s="2" t="s">
        <v>115</v>
      </c>
      <c r="H43" s="2" t="s">
        <v>13</v>
      </c>
      <c r="I43" s="2" t="s">
        <v>14</v>
      </c>
      <c r="J43" s="3">
        <v>46068.497175925928</v>
      </c>
    </row>
    <row r="44" spans="1:10" x14ac:dyDescent="0.25">
      <c r="A44">
        <v>43</v>
      </c>
      <c r="B44">
        <v>1</v>
      </c>
      <c r="C44" s="2" t="s">
        <v>78</v>
      </c>
      <c r="D44" s="2" t="s">
        <v>48</v>
      </c>
      <c r="E44" s="2"/>
      <c r="F44" s="2" t="s">
        <v>29</v>
      </c>
      <c r="G44" s="2" t="s">
        <v>116</v>
      </c>
      <c r="H44" s="2" t="s">
        <v>10</v>
      </c>
      <c r="I44" s="2" t="s">
        <v>11</v>
      </c>
      <c r="J44" s="3">
        <v>46068.497175925928</v>
      </c>
    </row>
    <row r="45" spans="1:10" x14ac:dyDescent="0.25">
      <c r="A45">
        <v>44</v>
      </c>
      <c r="B45">
        <v>2</v>
      </c>
      <c r="C45" s="2" t="s">
        <v>78</v>
      </c>
      <c r="D45" s="2" t="s">
        <v>48</v>
      </c>
      <c r="E45" s="2"/>
      <c r="F45" s="2" t="s">
        <v>29</v>
      </c>
      <c r="G45" s="2" t="s">
        <v>117</v>
      </c>
      <c r="H45" s="2" t="s">
        <v>41</v>
      </c>
      <c r="I45" s="2" t="s">
        <v>42</v>
      </c>
      <c r="J45" s="3">
        <v>46068.497175925928</v>
      </c>
    </row>
    <row r="46" spans="1:10" x14ac:dyDescent="0.25">
      <c r="A46">
        <v>45</v>
      </c>
      <c r="B46">
        <v>3</v>
      </c>
      <c r="C46" s="2" t="s">
        <v>47</v>
      </c>
      <c r="D46" s="2" t="s">
        <v>72</v>
      </c>
      <c r="E46" s="2"/>
      <c r="F46" s="2" t="s">
        <v>29</v>
      </c>
      <c r="G46" s="2" t="s">
        <v>118</v>
      </c>
      <c r="H46" s="2" t="s">
        <v>16</v>
      </c>
      <c r="I46" s="2" t="s">
        <v>46</v>
      </c>
      <c r="J46" s="3">
        <v>46068.497175925928</v>
      </c>
    </row>
    <row r="47" spans="1:10" x14ac:dyDescent="0.25">
      <c r="A47">
        <v>46</v>
      </c>
      <c r="B47">
        <v>4</v>
      </c>
      <c r="C47" s="2" t="s">
        <v>97</v>
      </c>
      <c r="D47" s="2" t="s">
        <v>89</v>
      </c>
      <c r="E47" s="2"/>
      <c r="F47" s="2" t="s">
        <v>29</v>
      </c>
      <c r="G47" s="2" t="s">
        <v>119</v>
      </c>
      <c r="H47" s="2" t="s">
        <v>16</v>
      </c>
      <c r="I47" s="2" t="s">
        <v>17</v>
      </c>
      <c r="J47" s="3">
        <v>46068.497175925928</v>
      </c>
    </row>
    <row r="48" spans="1:10" x14ac:dyDescent="0.25">
      <c r="A48">
        <v>47</v>
      </c>
      <c r="B48">
        <v>5</v>
      </c>
      <c r="C48" s="2" t="s">
        <v>76</v>
      </c>
      <c r="D48" s="2" t="s">
        <v>39</v>
      </c>
      <c r="E48" s="2"/>
      <c r="F48" s="2" t="s">
        <v>29</v>
      </c>
      <c r="G48" s="2" t="s">
        <v>120</v>
      </c>
      <c r="H48" s="2" t="s">
        <v>13</v>
      </c>
      <c r="I48" s="2" t="s">
        <v>14</v>
      </c>
      <c r="J48" s="3">
        <v>46068.497175925928</v>
      </c>
    </row>
    <row r="49" spans="1:10" x14ac:dyDescent="0.25">
      <c r="A49">
        <v>48</v>
      </c>
      <c r="B49">
        <v>1</v>
      </c>
      <c r="C49" s="2" t="s">
        <v>83</v>
      </c>
      <c r="D49" s="2" t="s">
        <v>99</v>
      </c>
      <c r="E49" s="2"/>
      <c r="F49" s="2" t="s">
        <v>54</v>
      </c>
      <c r="G49" s="2" t="s">
        <v>121</v>
      </c>
      <c r="H49" s="2" t="s">
        <v>10</v>
      </c>
      <c r="I49" s="2" t="s">
        <v>11</v>
      </c>
      <c r="J49" s="3">
        <v>46068.497175925928</v>
      </c>
    </row>
    <row r="50" spans="1:10" x14ac:dyDescent="0.25">
      <c r="A50">
        <v>49</v>
      </c>
      <c r="B50">
        <v>2</v>
      </c>
      <c r="C50" s="2" t="s">
        <v>83</v>
      </c>
      <c r="D50" s="2" t="s">
        <v>60</v>
      </c>
      <c r="E50" s="2"/>
      <c r="F50" s="2" t="s">
        <v>54</v>
      </c>
      <c r="G50" s="2" t="s">
        <v>122</v>
      </c>
      <c r="H50" s="2" t="s">
        <v>41</v>
      </c>
      <c r="I50" s="2" t="s">
        <v>42</v>
      </c>
      <c r="J50" s="3">
        <v>46068.497175925928</v>
      </c>
    </row>
    <row r="51" spans="1:10" x14ac:dyDescent="0.25">
      <c r="A51">
        <v>50</v>
      </c>
      <c r="B51">
        <v>3</v>
      </c>
      <c r="C51" s="2" t="s">
        <v>59</v>
      </c>
      <c r="D51" s="2" t="s">
        <v>101</v>
      </c>
      <c r="E51" s="2"/>
      <c r="F51" s="2" t="s">
        <v>54</v>
      </c>
      <c r="G51" s="2" t="s">
        <v>123</v>
      </c>
      <c r="H51" s="2" t="s">
        <v>16</v>
      </c>
      <c r="I51" s="2" t="s">
        <v>46</v>
      </c>
      <c r="J51" s="3">
        <v>46068.497175925928</v>
      </c>
    </row>
    <row r="52" spans="1:10" x14ac:dyDescent="0.25">
      <c r="A52">
        <v>51</v>
      </c>
      <c r="B52">
        <v>4</v>
      </c>
      <c r="C52" s="2" t="s">
        <v>83</v>
      </c>
      <c r="D52" s="2" t="s">
        <v>60</v>
      </c>
      <c r="E52" s="2"/>
      <c r="F52" s="2" t="s">
        <v>54</v>
      </c>
      <c r="G52" s="2" t="s">
        <v>124</v>
      </c>
      <c r="H52" s="2" t="s">
        <v>16</v>
      </c>
      <c r="I52" s="2" t="s">
        <v>17</v>
      </c>
      <c r="J52" s="3">
        <v>46068.497175925928</v>
      </c>
    </row>
    <row r="53" spans="1:10" x14ac:dyDescent="0.25">
      <c r="A53">
        <v>52</v>
      </c>
      <c r="B53">
        <v>5</v>
      </c>
      <c r="C53" s="2" t="s">
        <v>67</v>
      </c>
      <c r="D53" s="2" t="s">
        <v>65</v>
      </c>
      <c r="E53" s="2"/>
      <c r="F53" s="2" t="s">
        <v>54</v>
      </c>
      <c r="G53" s="2" t="s">
        <v>125</v>
      </c>
      <c r="H53" s="2" t="s">
        <v>13</v>
      </c>
      <c r="I53" s="2" t="s">
        <v>14</v>
      </c>
      <c r="J53" s="3">
        <v>46068.497175925928</v>
      </c>
    </row>
    <row r="54" spans="1:10" x14ac:dyDescent="0.25">
      <c r="A54">
        <v>53</v>
      </c>
      <c r="B54">
        <v>1</v>
      </c>
      <c r="C54" s="2" t="s">
        <v>103</v>
      </c>
      <c r="D54" s="2" t="s">
        <v>91</v>
      </c>
      <c r="E54" s="2"/>
      <c r="F54" s="2" t="s">
        <v>29</v>
      </c>
      <c r="G54" s="2" t="s">
        <v>126</v>
      </c>
      <c r="H54" s="2" t="s">
        <v>10</v>
      </c>
      <c r="I54" s="2" t="s">
        <v>11</v>
      </c>
      <c r="J54" s="3">
        <v>46068.497175925928</v>
      </c>
    </row>
    <row r="55" spans="1:10" x14ac:dyDescent="0.25">
      <c r="A55">
        <v>54</v>
      </c>
      <c r="B55">
        <v>2</v>
      </c>
      <c r="C55" s="2" t="s">
        <v>78</v>
      </c>
      <c r="D55" s="2" t="s">
        <v>51</v>
      </c>
      <c r="E55" s="2"/>
      <c r="F55" s="2" t="s">
        <v>29</v>
      </c>
      <c r="G55" s="2" t="s">
        <v>127</v>
      </c>
      <c r="H55" s="2" t="s">
        <v>41</v>
      </c>
      <c r="I55" s="2" t="s">
        <v>42</v>
      </c>
      <c r="J55" s="3">
        <v>46068.497175925928</v>
      </c>
    </row>
    <row r="56" spans="1:10" x14ac:dyDescent="0.25">
      <c r="A56">
        <v>55</v>
      </c>
      <c r="B56">
        <v>3</v>
      </c>
      <c r="C56" s="2" t="s">
        <v>62</v>
      </c>
      <c r="D56" s="2" t="s">
        <v>63</v>
      </c>
      <c r="E56" s="2"/>
      <c r="F56" s="2" t="s">
        <v>29</v>
      </c>
      <c r="G56" s="2" t="s">
        <v>128</v>
      </c>
      <c r="H56" s="2" t="s">
        <v>16</v>
      </c>
      <c r="I56" s="2" t="s">
        <v>46</v>
      </c>
      <c r="J56" s="3">
        <v>46068.497175925928</v>
      </c>
    </row>
    <row r="57" spans="1:10" x14ac:dyDescent="0.25">
      <c r="A57">
        <v>56</v>
      </c>
      <c r="B57">
        <v>4</v>
      </c>
      <c r="C57" s="2" t="s">
        <v>78</v>
      </c>
      <c r="D57" s="2" t="s">
        <v>94</v>
      </c>
      <c r="E57" s="2"/>
      <c r="F57" s="2" t="s">
        <v>29</v>
      </c>
      <c r="G57" s="2" t="s">
        <v>129</v>
      </c>
      <c r="H57" s="2" t="s">
        <v>16</v>
      </c>
      <c r="I57" s="2" t="s">
        <v>17</v>
      </c>
      <c r="J57" s="3">
        <v>46068.497175925928</v>
      </c>
    </row>
    <row r="58" spans="1:10" x14ac:dyDescent="0.25">
      <c r="A58">
        <v>57</v>
      </c>
      <c r="B58">
        <v>5</v>
      </c>
      <c r="C58" s="2" t="s">
        <v>38</v>
      </c>
      <c r="D58" s="2" t="s">
        <v>39</v>
      </c>
      <c r="E58" s="2"/>
      <c r="F58" s="2" t="s">
        <v>29</v>
      </c>
      <c r="G58" s="2" t="s">
        <v>130</v>
      </c>
      <c r="H58" s="2" t="s">
        <v>13</v>
      </c>
      <c r="I58" s="2" t="s">
        <v>14</v>
      </c>
      <c r="J58" s="3">
        <v>46068.497175925928</v>
      </c>
    </row>
    <row r="59" spans="1:10" x14ac:dyDescent="0.25">
      <c r="A59">
        <v>58</v>
      </c>
      <c r="B59">
        <v>1</v>
      </c>
      <c r="C59" s="2" t="s">
        <v>43</v>
      </c>
      <c r="D59" s="2" t="s">
        <v>36</v>
      </c>
      <c r="E59" s="2"/>
      <c r="F59" s="2" t="s">
        <v>54</v>
      </c>
      <c r="G59" s="2" t="s">
        <v>131</v>
      </c>
      <c r="H59" s="2" t="s">
        <v>10</v>
      </c>
      <c r="I59" s="2" t="s">
        <v>11</v>
      </c>
      <c r="J59" s="3">
        <v>46068.497175925928</v>
      </c>
    </row>
    <row r="60" spans="1:10" x14ac:dyDescent="0.25">
      <c r="A60">
        <v>59</v>
      </c>
      <c r="B60">
        <v>2</v>
      </c>
      <c r="C60" s="2" t="s">
        <v>132</v>
      </c>
      <c r="D60" s="2" t="s">
        <v>44</v>
      </c>
      <c r="E60" s="2"/>
      <c r="F60" s="2" t="s">
        <v>54</v>
      </c>
      <c r="G60" s="2" t="s">
        <v>133</v>
      </c>
      <c r="H60" s="2" t="s">
        <v>41</v>
      </c>
      <c r="I60" s="2" t="s">
        <v>42</v>
      </c>
      <c r="J60" s="3">
        <v>46068.497175925928</v>
      </c>
    </row>
    <row r="61" spans="1:10" x14ac:dyDescent="0.25">
      <c r="A61">
        <v>60</v>
      </c>
      <c r="B61">
        <v>3</v>
      </c>
      <c r="C61" s="2" t="s">
        <v>76</v>
      </c>
      <c r="D61" s="2" t="s">
        <v>109</v>
      </c>
      <c r="E61" s="2"/>
      <c r="F61" s="2" t="s">
        <v>54</v>
      </c>
      <c r="G61" s="2" t="s">
        <v>134</v>
      </c>
      <c r="H61" s="2" t="s">
        <v>16</v>
      </c>
      <c r="I61" s="2" t="s">
        <v>46</v>
      </c>
      <c r="J61" s="3">
        <v>46068.497175925928</v>
      </c>
    </row>
    <row r="62" spans="1:10" x14ac:dyDescent="0.25">
      <c r="A62">
        <v>61</v>
      </c>
      <c r="B62">
        <v>4</v>
      </c>
      <c r="C62" s="2" t="s">
        <v>59</v>
      </c>
      <c r="D62" s="2" t="s">
        <v>36</v>
      </c>
      <c r="E62" s="2"/>
      <c r="F62" s="2" t="s">
        <v>54</v>
      </c>
      <c r="G62" s="2" t="s">
        <v>135</v>
      </c>
      <c r="H62" s="2" t="s">
        <v>16</v>
      </c>
      <c r="I62" s="2" t="s">
        <v>17</v>
      </c>
      <c r="J62" s="3">
        <v>46068.497175925928</v>
      </c>
    </row>
    <row r="63" spans="1:10" x14ac:dyDescent="0.25">
      <c r="A63">
        <v>62</v>
      </c>
      <c r="B63">
        <v>5</v>
      </c>
      <c r="C63" s="2" t="s">
        <v>35</v>
      </c>
      <c r="D63" s="2" t="s">
        <v>94</v>
      </c>
      <c r="E63" s="2"/>
      <c r="F63" s="2" t="s">
        <v>54</v>
      </c>
      <c r="G63" s="2" t="s">
        <v>136</v>
      </c>
      <c r="H63" s="2" t="s">
        <v>13</v>
      </c>
      <c r="I63" s="2" t="s">
        <v>14</v>
      </c>
      <c r="J63" s="3">
        <v>46068.497175925928</v>
      </c>
    </row>
    <row r="64" spans="1:10" x14ac:dyDescent="0.25">
      <c r="A64">
        <v>63</v>
      </c>
      <c r="B64">
        <v>1</v>
      </c>
      <c r="C64" s="2" t="s">
        <v>78</v>
      </c>
      <c r="D64" s="2" t="s">
        <v>44</v>
      </c>
      <c r="E64" s="2"/>
      <c r="F64" s="2" t="s">
        <v>29</v>
      </c>
      <c r="G64" s="2" t="s">
        <v>137</v>
      </c>
      <c r="H64" s="2" t="s">
        <v>10</v>
      </c>
      <c r="I64" s="2" t="s">
        <v>11</v>
      </c>
      <c r="J64" s="3">
        <v>46068.497175925928</v>
      </c>
    </row>
    <row r="65" spans="1:10" x14ac:dyDescent="0.25">
      <c r="A65">
        <v>64</v>
      </c>
      <c r="B65">
        <v>2</v>
      </c>
      <c r="C65" s="2" t="s">
        <v>53</v>
      </c>
      <c r="D65" s="2" t="s">
        <v>51</v>
      </c>
      <c r="E65" s="2"/>
      <c r="F65" s="2" t="s">
        <v>29</v>
      </c>
      <c r="G65" s="2" t="s">
        <v>138</v>
      </c>
      <c r="H65" s="2" t="s">
        <v>41</v>
      </c>
      <c r="I65" s="2" t="s">
        <v>42</v>
      </c>
      <c r="J65" s="3">
        <v>46068.497175925928</v>
      </c>
    </row>
    <row r="66" spans="1:10" x14ac:dyDescent="0.25">
      <c r="A66">
        <v>65</v>
      </c>
      <c r="B66">
        <v>3</v>
      </c>
      <c r="C66" s="2" t="s">
        <v>83</v>
      </c>
      <c r="D66" s="2" t="s">
        <v>48</v>
      </c>
      <c r="E66" s="2"/>
      <c r="F66" s="2" t="s">
        <v>29</v>
      </c>
      <c r="G66" s="2" t="s">
        <v>139</v>
      </c>
      <c r="H66" s="2" t="s">
        <v>16</v>
      </c>
      <c r="I66" s="2" t="s">
        <v>46</v>
      </c>
      <c r="J66" s="3">
        <v>46068.497175925928</v>
      </c>
    </row>
    <row r="67" spans="1:10" x14ac:dyDescent="0.25">
      <c r="A67">
        <v>66</v>
      </c>
      <c r="B67">
        <v>4</v>
      </c>
      <c r="C67" s="2" t="s">
        <v>38</v>
      </c>
      <c r="D67" s="2" t="s">
        <v>74</v>
      </c>
      <c r="E67" s="2"/>
      <c r="F67" s="2" t="s">
        <v>29</v>
      </c>
      <c r="G67" s="2" t="s">
        <v>140</v>
      </c>
      <c r="H67" s="2" t="s">
        <v>16</v>
      </c>
      <c r="I67" s="2" t="s">
        <v>17</v>
      </c>
      <c r="J67" s="3">
        <v>46068.497175925928</v>
      </c>
    </row>
    <row r="68" spans="1:10" x14ac:dyDescent="0.25">
      <c r="A68">
        <v>67</v>
      </c>
      <c r="B68">
        <v>5</v>
      </c>
      <c r="C68" s="2" t="s">
        <v>38</v>
      </c>
      <c r="D68" s="2" t="s">
        <v>57</v>
      </c>
      <c r="E68" s="2"/>
      <c r="F68" s="2" t="s">
        <v>29</v>
      </c>
      <c r="G68" s="2" t="s">
        <v>141</v>
      </c>
      <c r="H68" s="2" t="s">
        <v>13</v>
      </c>
      <c r="I68" s="2" t="s">
        <v>14</v>
      </c>
      <c r="J68" s="3">
        <v>46068.497175925928</v>
      </c>
    </row>
    <row r="69" spans="1:10" x14ac:dyDescent="0.25">
      <c r="A69">
        <v>68</v>
      </c>
      <c r="B69">
        <v>1</v>
      </c>
      <c r="C69" s="2" t="s">
        <v>53</v>
      </c>
      <c r="D69" s="2" t="s">
        <v>63</v>
      </c>
      <c r="E69" s="2"/>
      <c r="F69" s="2" t="s">
        <v>54</v>
      </c>
      <c r="G69" s="2" t="s">
        <v>142</v>
      </c>
      <c r="H69" s="2" t="s">
        <v>10</v>
      </c>
      <c r="I69" s="2" t="s">
        <v>11</v>
      </c>
      <c r="J69" s="3">
        <v>46068.497175925928</v>
      </c>
    </row>
    <row r="70" spans="1:10" x14ac:dyDescent="0.25">
      <c r="A70">
        <v>69</v>
      </c>
      <c r="B70">
        <v>2</v>
      </c>
      <c r="C70" s="2" t="s">
        <v>67</v>
      </c>
      <c r="D70" s="2" t="s">
        <v>36</v>
      </c>
      <c r="E70" s="2"/>
      <c r="F70" s="2" t="s">
        <v>54</v>
      </c>
      <c r="G70" s="2" t="s">
        <v>143</v>
      </c>
      <c r="H70" s="2" t="s">
        <v>41</v>
      </c>
      <c r="I70" s="2" t="s">
        <v>42</v>
      </c>
      <c r="J70" s="3">
        <v>46068.497175925928</v>
      </c>
    </row>
    <row r="71" spans="1:10" x14ac:dyDescent="0.25">
      <c r="A71">
        <v>70</v>
      </c>
      <c r="B71">
        <v>3</v>
      </c>
      <c r="C71" s="2" t="s">
        <v>62</v>
      </c>
      <c r="D71" s="2" t="s">
        <v>109</v>
      </c>
      <c r="E71" s="2"/>
      <c r="F71" s="2" t="s">
        <v>54</v>
      </c>
      <c r="G71" s="2" t="s">
        <v>144</v>
      </c>
      <c r="H71" s="2" t="s">
        <v>16</v>
      </c>
      <c r="I71" s="2" t="s">
        <v>46</v>
      </c>
      <c r="J71" s="3">
        <v>46068.497175925928</v>
      </c>
    </row>
    <row r="72" spans="1:10" x14ac:dyDescent="0.25">
      <c r="A72">
        <v>71</v>
      </c>
      <c r="B72">
        <v>4</v>
      </c>
      <c r="C72" s="2" t="s">
        <v>103</v>
      </c>
      <c r="D72" s="2" t="s">
        <v>99</v>
      </c>
      <c r="E72" s="2"/>
      <c r="F72" s="2" t="s">
        <v>54</v>
      </c>
      <c r="G72" s="2" t="s">
        <v>145</v>
      </c>
      <c r="H72" s="2" t="s">
        <v>16</v>
      </c>
      <c r="I72" s="2" t="s">
        <v>17</v>
      </c>
      <c r="J72" s="3">
        <v>46068.497175925928</v>
      </c>
    </row>
    <row r="73" spans="1:10" x14ac:dyDescent="0.25">
      <c r="A73">
        <v>72</v>
      </c>
      <c r="B73">
        <v>5</v>
      </c>
      <c r="C73" s="2" t="s">
        <v>50</v>
      </c>
      <c r="D73" s="2" t="s">
        <v>60</v>
      </c>
      <c r="E73" s="2"/>
      <c r="F73" s="2" t="s">
        <v>54</v>
      </c>
      <c r="G73" s="2" t="s">
        <v>146</v>
      </c>
      <c r="H73" s="2" t="s">
        <v>13</v>
      </c>
      <c r="I73" s="2" t="s">
        <v>14</v>
      </c>
      <c r="J73" s="3">
        <v>46068.497175925928</v>
      </c>
    </row>
    <row r="74" spans="1:10" x14ac:dyDescent="0.25">
      <c r="A74">
        <v>73</v>
      </c>
      <c r="B74">
        <v>1</v>
      </c>
      <c r="C74" s="2" t="s">
        <v>43</v>
      </c>
      <c r="D74" s="2" t="s">
        <v>48</v>
      </c>
      <c r="E74" s="2"/>
      <c r="F74" s="2" t="s">
        <v>29</v>
      </c>
      <c r="G74" s="2" t="s">
        <v>147</v>
      </c>
      <c r="H74" s="2" t="s">
        <v>10</v>
      </c>
      <c r="I74" s="2" t="s">
        <v>11</v>
      </c>
      <c r="J74" s="3">
        <v>46068.497175925928</v>
      </c>
    </row>
    <row r="75" spans="1:10" x14ac:dyDescent="0.25">
      <c r="A75">
        <v>74</v>
      </c>
      <c r="B75">
        <v>2</v>
      </c>
      <c r="C75" s="2" t="s">
        <v>67</v>
      </c>
      <c r="D75" s="2" t="s">
        <v>51</v>
      </c>
      <c r="E75" s="2"/>
      <c r="F75" s="2" t="s">
        <v>29</v>
      </c>
      <c r="G75" s="2" t="s">
        <v>148</v>
      </c>
      <c r="H75" s="2" t="s">
        <v>41</v>
      </c>
      <c r="I75" s="2" t="s">
        <v>42</v>
      </c>
      <c r="J75" s="3">
        <v>46068.497175925928</v>
      </c>
    </row>
    <row r="76" spans="1:10" x14ac:dyDescent="0.25">
      <c r="A76">
        <v>75</v>
      </c>
      <c r="B76">
        <v>3</v>
      </c>
      <c r="C76" s="2" t="s">
        <v>43</v>
      </c>
      <c r="D76" s="2" t="s">
        <v>109</v>
      </c>
      <c r="E76" s="2"/>
      <c r="F76" s="2" t="s">
        <v>29</v>
      </c>
      <c r="G76" s="2" t="s">
        <v>149</v>
      </c>
      <c r="H76" s="2" t="s">
        <v>16</v>
      </c>
      <c r="I76" s="2" t="s">
        <v>46</v>
      </c>
      <c r="J76" s="3">
        <v>46068.497175925928</v>
      </c>
    </row>
    <row r="77" spans="1:10" x14ac:dyDescent="0.25">
      <c r="A77">
        <v>76</v>
      </c>
      <c r="B77">
        <v>4</v>
      </c>
      <c r="C77" s="2" t="s">
        <v>103</v>
      </c>
      <c r="D77" s="2" t="s">
        <v>51</v>
      </c>
      <c r="E77" s="2"/>
      <c r="F77" s="2" t="s">
        <v>29</v>
      </c>
      <c r="G77" s="2" t="s">
        <v>150</v>
      </c>
      <c r="H77" s="2" t="s">
        <v>16</v>
      </c>
      <c r="I77" s="2" t="s">
        <v>17</v>
      </c>
      <c r="J77" s="3">
        <v>46068.497175925928</v>
      </c>
    </row>
    <row r="78" spans="1:10" x14ac:dyDescent="0.25">
      <c r="A78">
        <v>77</v>
      </c>
      <c r="B78">
        <v>5</v>
      </c>
      <c r="C78" s="2" t="s">
        <v>43</v>
      </c>
      <c r="D78" s="2" t="s">
        <v>57</v>
      </c>
      <c r="E78" s="2"/>
      <c r="F78" s="2" t="s">
        <v>29</v>
      </c>
      <c r="G78" s="2" t="s">
        <v>151</v>
      </c>
      <c r="H78" s="2" t="s">
        <v>13</v>
      </c>
      <c r="I78" s="2" t="s">
        <v>14</v>
      </c>
      <c r="J78" s="3">
        <v>46068.497175925928</v>
      </c>
    </row>
    <row r="79" spans="1:10" x14ac:dyDescent="0.25">
      <c r="A79">
        <v>78</v>
      </c>
      <c r="B79">
        <v>1</v>
      </c>
      <c r="C79" s="2" t="s">
        <v>152</v>
      </c>
      <c r="D79" s="2" t="s">
        <v>153</v>
      </c>
      <c r="E79" s="2" t="s">
        <v>154</v>
      </c>
      <c r="F79" s="2" t="s">
        <v>29</v>
      </c>
      <c r="G79" s="2" t="s">
        <v>155</v>
      </c>
      <c r="H79" s="2" t="s">
        <v>10</v>
      </c>
      <c r="I79" s="2" t="s">
        <v>11</v>
      </c>
      <c r="J79" s="3">
        <v>46069.759560185186</v>
      </c>
    </row>
    <row r="80" spans="1:10" x14ac:dyDescent="0.25">
      <c r="A80">
        <v>79</v>
      </c>
      <c r="B80">
        <v>4</v>
      </c>
      <c r="C80" s="2" t="s">
        <v>156</v>
      </c>
      <c r="D80" s="2" t="s">
        <v>157</v>
      </c>
      <c r="E80" s="2" t="s">
        <v>158</v>
      </c>
      <c r="F80" s="2" t="s">
        <v>29</v>
      </c>
      <c r="G80" s="2" t="s">
        <v>159</v>
      </c>
      <c r="H80" s="2" t="s">
        <v>16</v>
      </c>
      <c r="I80" s="2" t="s">
        <v>17</v>
      </c>
      <c r="J80" s="3">
        <v>46071.372141203705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BFD1-214A-47C3-9794-671CAEE35821}">
  <dimension ref="A1:E2"/>
  <sheetViews>
    <sheetView workbookViewId="0"/>
  </sheetViews>
  <sheetFormatPr defaultRowHeight="15" x14ac:dyDescent="0.25"/>
  <cols>
    <col min="1" max="1" width="5" bestFit="1" customWidth="1"/>
    <col min="2" max="2" width="10.140625" bestFit="1" customWidth="1"/>
    <col min="3" max="3" width="14.7109375" bestFit="1" customWidth="1"/>
    <col min="4" max="4" width="14.28515625" bestFit="1" customWidth="1"/>
    <col min="5" max="5" width="14.85546875" bestFit="1" customWidth="1"/>
  </cols>
  <sheetData>
    <row r="1" spans="1:5" x14ac:dyDescent="0.25">
      <c r="A1" t="s">
        <v>0</v>
      </c>
      <c r="B1" t="s">
        <v>18</v>
      </c>
      <c r="C1" t="s">
        <v>19</v>
      </c>
      <c r="D1" t="s">
        <v>20</v>
      </c>
      <c r="E1" t="s">
        <v>7</v>
      </c>
    </row>
    <row r="2" spans="1:5" x14ac:dyDescent="0.25">
      <c r="A2">
        <v>1</v>
      </c>
      <c r="B2">
        <v>1</v>
      </c>
      <c r="C2" s="1">
        <v>46069</v>
      </c>
      <c r="D2" s="2" t="s">
        <v>21</v>
      </c>
      <c r="E2" s="3">
        <v>46068.475243055553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631F-D1D1-41AD-8398-CE497A9F08CE}">
  <dimension ref="A3:E8"/>
  <sheetViews>
    <sheetView workbookViewId="0">
      <selection activeCell="C3" sqref="C3:E3"/>
      <pivotSelection pane="bottomRight" activeRow="2" activeCol="2" previousRow="2" previousCol="2" click="1" r:id="rId1">
        <pivotArea type="topRight" dataOnly="0" labelOnly="1" outline="0" fieldPosition="0"/>
      </pivotSelection>
    </sheetView>
  </sheetViews>
  <sheetFormatPr defaultRowHeight="15" x14ac:dyDescent="0.25"/>
  <cols>
    <col min="1" max="1" width="14.42578125" bestFit="1" customWidth="1"/>
    <col min="2" max="2" width="16.28515625" bestFit="1" customWidth="1"/>
    <col min="3" max="3" width="4.42578125" bestFit="1" customWidth="1"/>
    <col min="4" max="4" width="7.85546875" bestFit="1" customWidth="1"/>
    <col min="5" max="5" width="11.28515625" bestFit="1" customWidth="1"/>
  </cols>
  <sheetData>
    <row r="3" spans="1:5" x14ac:dyDescent="0.25">
      <c r="A3" s="6" t="s">
        <v>635</v>
      </c>
      <c r="B3" s="6" t="s">
        <v>634</v>
      </c>
    </row>
    <row r="4" spans="1:5" x14ac:dyDescent="0.25">
      <c r="A4" s="6" t="s">
        <v>632</v>
      </c>
      <c r="B4" t="s">
        <v>12</v>
      </c>
      <c r="C4" t="s">
        <v>15</v>
      </c>
      <c r="D4" t="s">
        <v>8</v>
      </c>
      <c r="E4" t="s">
        <v>633</v>
      </c>
    </row>
    <row r="5" spans="1:5" x14ac:dyDescent="0.25">
      <c r="A5" s="7" t="s">
        <v>10</v>
      </c>
      <c r="B5" s="2">
        <v>4</v>
      </c>
      <c r="C5" s="2"/>
      <c r="D5" s="2">
        <v>16</v>
      </c>
      <c r="E5" s="2">
        <v>20</v>
      </c>
    </row>
    <row r="6" spans="1:5" x14ac:dyDescent="0.25">
      <c r="A6" s="7" t="s">
        <v>13</v>
      </c>
      <c r="B6" s="2">
        <v>1</v>
      </c>
      <c r="C6" s="2">
        <v>1</v>
      </c>
      <c r="D6" s="2">
        <v>13</v>
      </c>
      <c r="E6" s="2">
        <v>15</v>
      </c>
    </row>
    <row r="7" spans="1:5" x14ac:dyDescent="0.25">
      <c r="A7" s="7" t="s">
        <v>16</v>
      </c>
      <c r="B7" s="2">
        <v>1</v>
      </c>
      <c r="C7" s="2"/>
      <c r="D7" s="2">
        <v>15</v>
      </c>
      <c r="E7" s="2">
        <v>16</v>
      </c>
    </row>
    <row r="8" spans="1:5" x14ac:dyDescent="0.25">
      <c r="A8" s="7" t="s">
        <v>633</v>
      </c>
      <c r="B8" s="2">
        <v>6</v>
      </c>
      <c r="C8" s="2">
        <v>1</v>
      </c>
      <c r="D8" s="2">
        <v>44</v>
      </c>
      <c r="E8" s="2">
        <v>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40FD-8BF8-45D4-8BB0-32B3B4FF393F}">
  <dimension ref="A1:H52"/>
  <sheetViews>
    <sheetView topLeftCell="A2" workbookViewId="0">
      <selection activeCell="G18" sqref="G18"/>
    </sheetView>
  </sheetViews>
  <sheetFormatPr defaultRowHeight="15" x14ac:dyDescent="0.25"/>
  <cols>
    <col min="1" max="1" width="5" bestFit="1" customWidth="1"/>
    <col min="2" max="2" width="12.85546875" bestFit="1" customWidth="1"/>
    <col min="3" max="3" width="9.7109375" bestFit="1" customWidth="1"/>
    <col min="4" max="4" width="8.5703125" bestFit="1" customWidth="1"/>
    <col min="5" max="5" width="10.42578125" bestFit="1" customWidth="1"/>
    <col min="6" max="6" width="13.7109375" bestFit="1" customWidth="1"/>
    <col min="7" max="7" width="9.7109375" bestFit="1" customWidth="1"/>
    <col min="8" max="8" width="14.85546875" bestFit="1" customWidth="1"/>
  </cols>
  <sheetData>
    <row r="1" spans="1:8" x14ac:dyDescent="0.25">
      <c r="A1" t="s">
        <v>0</v>
      </c>
      <c r="B1" t="s">
        <v>1</v>
      </c>
      <c r="C1" t="s">
        <v>2</v>
      </c>
      <c r="D1" t="s">
        <v>3</v>
      </c>
      <c r="E1" t="s">
        <v>4</v>
      </c>
      <c r="F1" t="s">
        <v>5</v>
      </c>
      <c r="G1" t="s">
        <v>6</v>
      </c>
      <c r="H1" t="s">
        <v>7</v>
      </c>
    </row>
    <row r="2" spans="1:8" x14ac:dyDescent="0.25">
      <c r="A2">
        <v>1</v>
      </c>
      <c r="B2">
        <v>1</v>
      </c>
      <c r="C2" s="1">
        <v>46068</v>
      </c>
      <c r="D2" s="2" t="s">
        <v>8</v>
      </c>
      <c r="E2" s="2" t="s">
        <v>9</v>
      </c>
      <c r="F2" s="2" t="s">
        <v>10</v>
      </c>
      <c r="G2" s="2" t="s">
        <v>11</v>
      </c>
      <c r="H2" s="3">
        <v>46068.475787037038</v>
      </c>
    </row>
    <row r="3" spans="1:8" x14ac:dyDescent="0.25">
      <c r="A3">
        <v>4</v>
      </c>
      <c r="B3">
        <v>2</v>
      </c>
      <c r="C3" s="1">
        <v>46068</v>
      </c>
      <c r="D3" s="2" t="s">
        <v>12</v>
      </c>
      <c r="E3" s="2" t="s">
        <v>9</v>
      </c>
      <c r="F3" s="2" t="s">
        <v>10</v>
      </c>
      <c r="G3" s="2" t="s">
        <v>11</v>
      </c>
      <c r="H3" s="3">
        <v>46068.479826388888</v>
      </c>
    </row>
    <row r="4" spans="1:8" x14ac:dyDescent="0.25">
      <c r="A4">
        <v>6</v>
      </c>
      <c r="B4">
        <v>53</v>
      </c>
      <c r="C4" s="1">
        <v>46069</v>
      </c>
      <c r="D4" s="2" t="s">
        <v>12</v>
      </c>
      <c r="E4" s="2" t="s">
        <v>9</v>
      </c>
      <c r="F4" s="2" t="s">
        <v>10</v>
      </c>
      <c r="G4" s="2" t="s">
        <v>11</v>
      </c>
      <c r="H4" s="3">
        <v>46069.598391203705</v>
      </c>
    </row>
    <row r="5" spans="1:8" x14ac:dyDescent="0.25">
      <c r="A5">
        <v>7</v>
      </c>
      <c r="B5">
        <v>63</v>
      </c>
      <c r="C5" s="1">
        <v>46069</v>
      </c>
      <c r="D5" s="2" t="s">
        <v>12</v>
      </c>
      <c r="E5" s="2" t="s">
        <v>9</v>
      </c>
      <c r="F5" s="2" t="s">
        <v>10</v>
      </c>
      <c r="G5" s="2" t="s">
        <v>11</v>
      </c>
      <c r="H5" s="3">
        <v>46069.598391203705</v>
      </c>
    </row>
    <row r="6" spans="1:8" x14ac:dyDescent="0.25">
      <c r="A6">
        <v>8</v>
      </c>
      <c r="B6">
        <v>28</v>
      </c>
      <c r="C6" s="1">
        <v>46069</v>
      </c>
      <c r="D6" s="2" t="s">
        <v>12</v>
      </c>
      <c r="E6" s="2" t="s">
        <v>9</v>
      </c>
      <c r="F6" s="2" t="s">
        <v>10</v>
      </c>
      <c r="G6" s="2" t="s">
        <v>11</v>
      </c>
      <c r="H6" s="3">
        <v>46069.598391203705</v>
      </c>
    </row>
    <row r="7" spans="1:8" x14ac:dyDescent="0.25">
      <c r="A7">
        <v>9</v>
      </c>
      <c r="B7">
        <v>48</v>
      </c>
      <c r="C7" s="1">
        <v>46069</v>
      </c>
      <c r="D7" s="2" t="s">
        <v>8</v>
      </c>
      <c r="E7" s="2" t="s">
        <v>9</v>
      </c>
      <c r="F7" s="2" t="s">
        <v>10</v>
      </c>
      <c r="G7" s="2" t="s">
        <v>11</v>
      </c>
      <c r="H7" s="3">
        <v>46069.598391203705</v>
      </c>
    </row>
    <row r="8" spans="1:8" x14ac:dyDescent="0.25">
      <c r="A8">
        <v>10</v>
      </c>
      <c r="B8">
        <v>2</v>
      </c>
      <c r="C8" s="1">
        <v>46069</v>
      </c>
      <c r="D8" s="2" t="s">
        <v>8</v>
      </c>
      <c r="E8" s="2" t="s">
        <v>9</v>
      </c>
      <c r="F8" s="2" t="s">
        <v>10</v>
      </c>
      <c r="G8" s="2" t="s">
        <v>11</v>
      </c>
      <c r="H8" s="3">
        <v>46069.598391203705</v>
      </c>
    </row>
    <row r="9" spans="1:8" x14ac:dyDescent="0.25">
      <c r="A9">
        <v>11</v>
      </c>
      <c r="B9">
        <v>73</v>
      </c>
      <c r="C9" s="1">
        <v>46069</v>
      </c>
      <c r="D9" s="2" t="s">
        <v>8</v>
      </c>
      <c r="E9" s="2" t="s">
        <v>9</v>
      </c>
      <c r="F9" s="2" t="s">
        <v>10</v>
      </c>
      <c r="G9" s="2" t="s">
        <v>11</v>
      </c>
      <c r="H9" s="3">
        <v>46069.598391203705</v>
      </c>
    </row>
    <row r="10" spans="1:8" x14ac:dyDescent="0.25">
      <c r="A10">
        <v>12</v>
      </c>
      <c r="B10">
        <v>43</v>
      </c>
      <c r="C10" s="1">
        <v>46069</v>
      </c>
      <c r="D10" s="2" t="s">
        <v>8</v>
      </c>
      <c r="E10" s="2" t="s">
        <v>9</v>
      </c>
      <c r="F10" s="2" t="s">
        <v>10</v>
      </c>
      <c r="G10" s="2" t="s">
        <v>11</v>
      </c>
      <c r="H10" s="3">
        <v>46069.598391203705</v>
      </c>
    </row>
    <row r="11" spans="1:8" x14ac:dyDescent="0.25">
      <c r="A11">
        <v>13</v>
      </c>
      <c r="B11">
        <v>58</v>
      </c>
      <c r="C11" s="1">
        <v>46069</v>
      </c>
      <c r="D11" s="2" t="s">
        <v>8</v>
      </c>
      <c r="E11" s="2" t="s">
        <v>9</v>
      </c>
      <c r="F11" s="2" t="s">
        <v>10</v>
      </c>
      <c r="G11" s="2" t="s">
        <v>11</v>
      </c>
      <c r="H11" s="3">
        <v>46069.598391203705</v>
      </c>
    </row>
    <row r="12" spans="1:8" x14ac:dyDescent="0.25">
      <c r="A12">
        <v>14</v>
      </c>
      <c r="B12">
        <v>3</v>
      </c>
      <c r="C12" s="1">
        <v>46069</v>
      </c>
      <c r="D12" s="2" t="s">
        <v>8</v>
      </c>
      <c r="E12" s="2" t="s">
        <v>9</v>
      </c>
      <c r="F12" s="2" t="s">
        <v>10</v>
      </c>
      <c r="G12" s="2" t="s">
        <v>11</v>
      </c>
      <c r="H12" s="3">
        <v>46069.598391203705</v>
      </c>
    </row>
    <row r="13" spans="1:8" x14ac:dyDescent="0.25">
      <c r="A13">
        <v>15</v>
      </c>
      <c r="B13">
        <v>23</v>
      </c>
      <c r="C13" s="1">
        <v>46069</v>
      </c>
      <c r="D13" s="2" t="s">
        <v>8</v>
      </c>
      <c r="E13" s="2" t="s">
        <v>9</v>
      </c>
      <c r="F13" s="2" t="s">
        <v>10</v>
      </c>
      <c r="G13" s="2" t="s">
        <v>11</v>
      </c>
      <c r="H13" s="3">
        <v>46069.598391203705</v>
      </c>
    </row>
    <row r="14" spans="1:8" x14ac:dyDescent="0.25">
      <c r="A14">
        <v>16</v>
      </c>
      <c r="B14">
        <v>18</v>
      </c>
      <c r="C14" s="1">
        <v>46069</v>
      </c>
      <c r="D14" s="2" t="s">
        <v>8</v>
      </c>
      <c r="E14" s="2" t="s">
        <v>9</v>
      </c>
      <c r="F14" s="2" t="s">
        <v>10</v>
      </c>
      <c r="G14" s="2" t="s">
        <v>11</v>
      </c>
      <c r="H14" s="3">
        <v>46069.598391203705</v>
      </c>
    </row>
    <row r="15" spans="1:8" x14ac:dyDescent="0.25">
      <c r="A15">
        <v>17</v>
      </c>
      <c r="B15">
        <v>1</v>
      </c>
      <c r="C15" s="1">
        <v>46069</v>
      </c>
      <c r="D15" s="2" t="s">
        <v>8</v>
      </c>
      <c r="E15" s="2" t="s">
        <v>9</v>
      </c>
      <c r="F15" s="2" t="s">
        <v>10</v>
      </c>
      <c r="G15" s="2" t="s">
        <v>11</v>
      </c>
      <c r="H15" s="3">
        <v>46069.598391203705</v>
      </c>
    </row>
    <row r="16" spans="1:8" x14ac:dyDescent="0.25">
      <c r="A16">
        <v>18</v>
      </c>
      <c r="B16">
        <v>33</v>
      </c>
      <c r="C16" s="1">
        <v>46069</v>
      </c>
      <c r="D16" s="2" t="s">
        <v>8</v>
      </c>
      <c r="E16" s="2" t="s">
        <v>9</v>
      </c>
      <c r="F16" s="2" t="s">
        <v>10</v>
      </c>
      <c r="G16" s="2" t="s">
        <v>11</v>
      </c>
      <c r="H16" s="3">
        <v>46069.598391203705</v>
      </c>
    </row>
    <row r="17" spans="1:8" x14ac:dyDescent="0.25">
      <c r="A17">
        <v>19</v>
      </c>
      <c r="B17">
        <v>8</v>
      </c>
      <c r="C17" s="1">
        <v>46069</v>
      </c>
      <c r="D17" s="2" t="s">
        <v>8</v>
      </c>
      <c r="E17" s="2" t="s">
        <v>9</v>
      </c>
      <c r="F17" s="2" t="s">
        <v>10</v>
      </c>
      <c r="G17" s="2" t="s">
        <v>11</v>
      </c>
      <c r="H17" s="3">
        <v>46069.598391203705</v>
      </c>
    </row>
    <row r="18" spans="1:8" x14ac:dyDescent="0.25">
      <c r="A18">
        <v>20</v>
      </c>
      <c r="B18">
        <v>38</v>
      </c>
      <c r="C18" s="1">
        <v>46069</v>
      </c>
      <c r="D18" s="2" t="s">
        <v>8</v>
      </c>
      <c r="E18" s="2" t="s">
        <v>9</v>
      </c>
      <c r="F18" s="2" t="s">
        <v>10</v>
      </c>
      <c r="G18" s="2" t="s">
        <v>11</v>
      </c>
      <c r="H18" s="3">
        <v>46069.598391203705</v>
      </c>
    </row>
    <row r="19" spans="1:8" x14ac:dyDescent="0.25">
      <c r="A19">
        <v>21</v>
      </c>
      <c r="B19">
        <v>68</v>
      </c>
      <c r="C19" s="1">
        <v>46069</v>
      </c>
      <c r="D19" s="2" t="s">
        <v>8</v>
      </c>
      <c r="E19" s="2" t="s">
        <v>9</v>
      </c>
      <c r="F19" s="2" t="s">
        <v>10</v>
      </c>
      <c r="G19" s="2" t="s">
        <v>11</v>
      </c>
      <c r="H19" s="3">
        <v>46069.598391203705</v>
      </c>
    </row>
    <row r="20" spans="1:8" x14ac:dyDescent="0.25">
      <c r="A20">
        <v>22</v>
      </c>
      <c r="B20">
        <v>13</v>
      </c>
      <c r="C20" s="1">
        <v>46069</v>
      </c>
      <c r="D20" s="2" t="s">
        <v>8</v>
      </c>
      <c r="E20" s="2" t="s">
        <v>9</v>
      </c>
      <c r="F20" s="2" t="s">
        <v>10</v>
      </c>
      <c r="G20" s="2" t="s">
        <v>11</v>
      </c>
      <c r="H20" s="3">
        <v>46069.598391203705</v>
      </c>
    </row>
    <row r="21" spans="1:8" x14ac:dyDescent="0.25">
      <c r="A21">
        <v>26</v>
      </c>
      <c r="B21">
        <v>78</v>
      </c>
      <c r="C21" s="1">
        <v>46069</v>
      </c>
      <c r="D21" s="2" t="s">
        <v>8</v>
      </c>
      <c r="E21" s="2" t="s">
        <v>9</v>
      </c>
      <c r="F21" s="2" t="s">
        <v>10</v>
      </c>
      <c r="G21" s="2" t="s">
        <v>11</v>
      </c>
      <c r="H21" s="3">
        <v>46069.893009259256</v>
      </c>
    </row>
    <row r="22" spans="1:8" x14ac:dyDescent="0.25">
      <c r="A22">
        <v>41</v>
      </c>
      <c r="B22">
        <v>42</v>
      </c>
      <c r="C22" s="1">
        <v>46071</v>
      </c>
      <c r="D22" s="2" t="s">
        <v>12</v>
      </c>
      <c r="E22" s="2" t="s">
        <v>9</v>
      </c>
      <c r="F22" s="2" t="s">
        <v>13</v>
      </c>
      <c r="G22" s="2" t="s">
        <v>14</v>
      </c>
      <c r="H22" s="3">
        <v>46071.364201388889</v>
      </c>
    </row>
    <row r="23" spans="1:8" x14ac:dyDescent="0.25">
      <c r="A23">
        <v>42</v>
      </c>
      <c r="B23">
        <v>12</v>
      </c>
      <c r="C23" s="1">
        <v>46071</v>
      </c>
      <c r="D23" s="2" t="s">
        <v>8</v>
      </c>
      <c r="E23" s="2" t="s">
        <v>9</v>
      </c>
      <c r="F23" s="2" t="s">
        <v>13</v>
      </c>
      <c r="G23" s="2" t="s">
        <v>14</v>
      </c>
      <c r="H23" s="3">
        <v>46071.364201388889</v>
      </c>
    </row>
    <row r="24" spans="1:8" x14ac:dyDescent="0.25">
      <c r="A24">
        <v>43</v>
      </c>
      <c r="B24">
        <v>52</v>
      </c>
      <c r="C24" s="1">
        <v>46071</v>
      </c>
      <c r="D24" s="2" t="s">
        <v>15</v>
      </c>
      <c r="E24" s="2" t="s">
        <v>9</v>
      </c>
      <c r="F24" s="2" t="s">
        <v>13</v>
      </c>
      <c r="G24" s="2" t="s">
        <v>14</v>
      </c>
      <c r="H24" s="3">
        <v>46071.364201388889</v>
      </c>
    </row>
    <row r="25" spans="1:8" x14ac:dyDescent="0.25">
      <c r="A25">
        <v>44</v>
      </c>
      <c r="B25">
        <v>32</v>
      </c>
      <c r="C25" s="1">
        <v>46071</v>
      </c>
      <c r="D25" s="2" t="s">
        <v>8</v>
      </c>
      <c r="E25" s="2" t="s">
        <v>9</v>
      </c>
      <c r="F25" s="2" t="s">
        <v>13</v>
      </c>
      <c r="G25" s="2" t="s">
        <v>14</v>
      </c>
      <c r="H25" s="3">
        <v>46071.364201388889</v>
      </c>
    </row>
    <row r="26" spans="1:8" x14ac:dyDescent="0.25">
      <c r="A26">
        <v>45</v>
      </c>
      <c r="B26">
        <v>62</v>
      </c>
      <c r="C26" s="1">
        <v>46071</v>
      </c>
      <c r="D26" s="2" t="s">
        <v>8</v>
      </c>
      <c r="E26" s="2" t="s">
        <v>9</v>
      </c>
      <c r="F26" s="2" t="s">
        <v>13</v>
      </c>
      <c r="G26" s="2" t="s">
        <v>14</v>
      </c>
      <c r="H26" s="3">
        <v>46071.364201388889</v>
      </c>
    </row>
    <row r="27" spans="1:8" x14ac:dyDescent="0.25">
      <c r="A27">
        <v>46</v>
      </c>
      <c r="B27">
        <v>27</v>
      </c>
      <c r="C27" s="1">
        <v>46071</v>
      </c>
      <c r="D27" s="2" t="s">
        <v>8</v>
      </c>
      <c r="E27" s="2" t="s">
        <v>9</v>
      </c>
      <c r="F27" s="2" t="s">
        <v>13</v>
      </c>
      <c r="G27" s="2" t="s">
        <v>14</v>
      </c>
      <c r="H27" s="3">
        <v>46071.364201388889</v>
      </c>
    </row>
    <row r="28" spans="1:8" x14ac:dyDescent="0.25">
      <c r="A28">
        <v>47</v>
      </c>
      <c r="B28">
        <v>22</v>
      </c>
      <c r="C28" s="1">
        <v>46071</v>
      </c>
      <c r="D28" s="2" t="s">
        <v>8</v>
      </c>
      <c r="E28" s="2" t="s">
        <v>9</v>
      </c>
      <c r="F28" s="2" t="s">
        <v>13</v>
      </c>
      <c r="G28" s="2" t="s">
        <v>14</v>
      </c>
      <c r="H28" s="3">
        <v>46071.364201388889</v>
      </c>
    </row>
    <row r="29" spans="1:8" x14ac:dyDescent="0.25">
      <c r="A29">
        <v>48</v>
      </c>
      <c r="B29">
        <v>47</v>
      </c>
      <c r="C29" s="1">
        <v>46071</v>
      </c>
      <c r="D29" s="2" t="s">
        <v>8</v>
      </c>
      <c r="E29" s="2" t="s">
        <v>9</v>
      </c>
      <c r="F29" s="2" t="s">
        <v>13</v>
      </c>
      <c r="G29" s="2" t="s">
        <v>14</v>
      </c>
      <c r="H29" s="3">
        <v>46071.364201388889</v>
      </c>
    </row>
    <row r="30" spans="1:8" x14ac:dyDescent="0.25">
      <c r="A30">
        <v>49</v>
      </c>
      <c r="B30">
        <v>57</v>
      </c>
      <c r="C30" s="1">
        <v>46071</v>
      </c>
      <c r="D30" s="2" t="s">
        <v>8</v>
      </c>
      <c r="E30" s="2" t="s">
        <v>9</v>
      </c>
      <c r="F30" s="2" t="s">
        <v>13</v>
      </c>
      <c r="G30" s="2" t="s">
        <v>14</v>
      </c>
      <c r="H30" s="3">
        <v>46071.364201388889</v>
      </c>
    </row>
    <row r="31" spans="1:8" x14ac:dyDescent="0.25">
      <c r="A31">
        <v>50</v>
      </c>
      <c r="B31">
        <v>77</v>
      </c>
      <c r="C31" s="1">
        <v>46071</v>
      </c>
      <c r="D31" s="2" t="s">
        <v>8</v>
      </c>
      <c r="E31" s="2" t="s">
        <v>9</v>
      </c>
      <c r="F31" s="2" t="s">
        <v>13</v>
      </c>
      <c r="G31" s="2" t="s">
        <v>14</v>
      </c>
      <c r="H31" s="3">
        <v>46071.364201388889</v>
      </c>
    </row>
    <row r="32" spans="1:8" x14ac:dyDescent="0.25">
      <c r="A32">
        <v>51</v>
      </c>
      <c r="B32">
        <v>67</v>
      </c>
      <c r="C32" s="1">
        <v>46071</v>
      </c>
      <c r="D32" s="2" t="s">
        <v>8</v>
      </c>
      <c r="E32" s="2" t="s">
        <v>9</v>
      </c>
      <c r="F32" s="2" t="s">
        <v>13</v>
      </c>
      <c r="G32" s="2" t="s">
        <v>14</v>
      </c>
      <c r="H32" s="3">
        <v>46071.364212962966</v>
      </c>
    </row>
    <row r="33" spans="1:8" x14ac:dyDescent="0.25">
      <c r="A33">
        <v>52</v>
      </c>
      <c r="B33">
        <v>17</v>
      </c>
      <c r="C33" s="1">
        <v>46071</v>
      </c>
      <c r="D33" s="2" t="s">
        <v>8</v>
      </c>
      <c r="E33" s="2" t="s">
        <v>9</v>
      </c>
      <c r="F33" s="2" t="s">
        <v>13</v>
      </c>
      <c r="G33" s="2" t="s">
        <v>14</v>
      </c>
      <c r="H33" s="3">
        <v>46071.364212962966</v>
      </c>
    </row>
    <row r="34" spans="1:8" x14ac:dyDescent="0.25">
      <c r="A34">
        <v>53</v>
      </c>
      <c r="B34">
        <v>7</v>
      </c>
      <c r="C34" s="1">
        <v>46071</v>
      </c>
      <c r="D34" s="2" t="s">
        <v>8</v>
      </c>
      <c r="E34" s="2" t="s">
        <v>9</v>
      </c>
      <c r="F34" s="2" t="s">
        <v>13</v>
      </c>
      <c r="G34" s="2" t="s">
        <v>14</v>
      </c>
      <c r="H34" s="3">
        <v>46071.364212962966</v>
      </c>
    </row>
    <row r="35" spans="1:8" x14ac:dyDescent="0.25">
      <c r="A35">
        <v>54</v>
      </c>
      <c r="B35">
        <v>37</v>
      </c>
      <c r="C35" s="1">
        <v>46071</v>
      </c>
      <c r="D35" s="2" t="s">
        <v>8</v>
      </c>
      <c r="E35" s="2" t="s">
        <v>9</v>
      </c>
      <c r="F35" s="2" t="s">
        <v>13</v>
      </c>
      <c r="G35" s="2" t="s">
        <v>14</v>
      </c>
      <c r="H35" s="3">
        <v>46071.364212962966</v>
      </c>
    </row>
    <row r="36" spans="1:8" x14ac:dyDescent="0.25">
      <c r="A36">
        <v>55</v>
      </c>
      <c r="B36">
        <v>72</v>
      </c>
      <c r="C36" s="1">
        <v>46071</v>
      </c>
      <c r="D36" s="2" t="s">
        <v>8</v>
      </c>
      <c r="E36" s="2" t="s">
        <v>9</v>
      </c>
      <c r="F36" s="2" t="s">
        <v>13</v>
      </c>
      <c r="G36" s="2" t="s">
        <v>14</v>
      </c>
      <c r="H36" s="3">
        <v>46071.364212962966</v>
      </c>
    </row>
    <row r="37" spans="1:8" x14ac:dyDescent="0.25">
      <c r="A37">
        <v>56</v>
      </c>
      <c r="B37">
        <v>26</v>
      </c>
      <c r="C37" s="1">
        <v>46071</v>
      </c>
      <c r="D37" s="2" t="s">
        <v>8</v>
      </c>
      <c r="E37" s="2" t="s">
        <v>9</v>
      </c>
      <c r="F37" s="2" t="s">
        <v>16</v>
      </c>
      <c r="G37" s="2" t="s">
        <v>17</v>
      </c>
      <c r="H37" s="3">
        <v>46071.372824074075</v>
      </c>
    </row>
    <row r="38" spans="1:8" x14ac:dyDescent="0.25">
      <c r="A38">
        <v>57</v>
      </c>
      <c r="B38">
        <v>56</v>
      </c>
      <c r="C38" s="1">
        <v>46071</v>
      </c>
      <c r="D38" s="2" t="s">
        <v>8</v>
      </c>
      <c r="E38" s="2" t="s">
        <v>9</v>
      </c>
      <c r="F38" s="2" t="s">
        <v>16</v>
      </c>
      <c r="G38" s="2" t="s">
        <v>17</v>
      </c>
      <c r="H38" s="3">
        <v>46071.372824074075</v>
      </c>
    </row>
    <row r="39" spans="1:8" x14ac:dyDescent="0.25">
      <c r="A39">
        <v>58</v>
      </c>
      <c r="B39">
        <v>46</v>
      </c>
      <c r="C39" s="1">
        <v>46071</v>
      </c>
      <c r="D39" s="2" t="s">
        <v>8</v>
      </c>
      <c r="E39" s="2" t="s">
        <v>9</v>
      </c>
      <c r="F39" s="2" t="s">
        <v>16</v>
      </c>
      <c r="G39" s="2" t="s">
        <v>17</v>
      </c>
      <c r="H39" s="3">
        <v>46071.372824074075</v>
      </c>
    </row>
    <row r="40" spans="1:8" x14ac:dyDescent="0.25">
      <c r="A40">
        <v>59</v>
      </c>
      <c r="B40">
        <v>31</v>
      </c>
      <c r="C40" s="1">
        <v>46071</v>
      </c>
      <c r="D40" s="2" t="s">
        <v>8</v>
      </c>
      <c r="E40" s="2" t="s">
        <v>9</v>
      </c>
      <c r="F40" s="2" t="s">
        <v>16</v>
      </c>
      <c r="G40" s="2" t="s">
        <v>17</v>
      </c>
      <c r="H40" s="3">
        <v>46071.372824074075</v>
      </c>
    </row>
    <row r="41" spans="1:8" x14ac:dyDescent="0.25">
      <c r="A41">
        <v>60</v>
      </c>
      <c r="B41">
        <v>79</v>
      </c>
      <c r="C41" s="1">
        <v>46071</v>
      </c>
      <c r="D41" s="2" t="s">
        <v>8</v>
      </c>
      <c r="E41" s="2" t="s">
        <v>9</v>
      </c>
      <c r="F41" s="2" t="s">
        <v>16</v>
      </c>
      <c r="G41" s="2" t="s">
        <v>17</v>
      </c>
      <c r="H41" s="3">
        <v>46071.372824074075</v>
      </c>
    </row>
    <row r="42" spans="1:8" x14ac:dyDescent="0.25">
      <c r="A42">
        <v>61</v>
      </c>
      <c r="B42">
        <v>36</v>
      </c>
      <c r="C42" s="1">
        <v>46071</v>
      </c>
      <c r="D42" s="2" t="s">
        <v>8</v>
      </c>
      <c r="E42" s="2" t="s">
        <v>9</v>
      </c>
      <c r="F42" s="2" t="s">
        <v>16</v>
      </c>
      <c r="G42" s="2" t="s">
        <v>17</v>
      </c>
      <c r="H42" s="3">
        <v>46071.372824074075</v>
      </c>
    </row>
    <row r="43" spans="1:8" x14ac:dyDescent="0.25">
      <c r="A43">
        <v>62</v>
      </c>
      <c r="B43">
        <v>21</v>
      </c>
      <c r="C43" s="1">
        <v>46071</v>
      </c>
      <c r="D43" s="2" t="s">
        <v>8</v>
      </c>
      <c r="E43" s="2" t="s">
        <v>9</v>
      </c>
      <c r="F43" s="2" t="s">
        <v>16</v>
      </c>
      <c r="G43" s="2" t="s">
        <v>17</v>
      </c>
      <c r="H43" s="3">
        <v>46071.372824074075</v>
      </c>
    </row>
    <row r="44" spans="1:8" x14ac:dyDescent="0.25">
      <c r="A44">
        <v>63</v>
      </c>
      <c r="B44">
        <v>41</v>
      </c>
      <c r="C44" s="1">
        <v>46071</v>
      </c>
      <c r="D44" s="2" t="s">
        <v>8</v>
      </c>
      <c r="E44" s="2" t="s">
        <v>9</v>
      </c>
      <c r="F44" s="2" t="s">
        <v>16</v>
      </c>
      <c r="G44" s="2" t="s">
        <v>17</v>
      </c>
      <c r="H44" s="3">
        <v>46071.372824074075</v>
      </c>
    </row>
    <row r="45" spans="1:8" x14ac:dyDescent="0.25">
      <c r="A45">
        <v>64</v>
      </c>
      <c r="B45">
        <v>71</v>
      </c>
      <c r="C45" s="1">
        <v>46071</v>
      </c>
      <c r="D45" s="2" t="s">
        <v>8</v>
      </c>
      <c r="E45" s="2" t="s">
        <v>9</v>
      </c>
      <c r="F45" s="2" t="s">
        <v>16</v>
      </c>
      <c r="G45" s="2" t="s">
        <v>17</v>
      </c>
      <c r="H45" s="3">
        <v>46071.372824074075</v>
      </c>
    </row>
    <row r="46" spans="1:8" x14ac:dyDescent="0.25">
      <c r="A46">
        <v>65</v>
      </c>
      <c r="B46">
        <v>6</v>
      </c>
      <c r="C46" s="1">
        <v>46071</v>
      </c>
      <c r="D46" s="2" t="s">
        <v>8</v>
      </c>
      <c r="E46" s="2" t="s">
        <v>9</v>
      </c>
      <c r="F46" s="2" t="s">
        <v>16</v>
      </c>
      <c r="G46" s="2" t="s">
        <v>17</v>
      </c>
      <c r="H46" s="3">
        <v>46071.372824074075</v>
      </c>
    </row>
    <row r="47" spans="1:8" x14ac:dyDescent="0.25">
      <c r="A47">
        <v>66</v>
      </c>
      <c r="B47">
        <v>61</v>
      </c>
      <c r="C47" s="1">
        <v>46071</v>
      </c>
      <c r="D47" s="2" t="s">
        <v>8</v>
      </c>
      <c r="E47" s="2" t="s">
        <v>9</v>
      </c>
      <c r="F47" s="2" t="s">
        <v>16</v>
      </c>
      <c r="G47" s="2" t="s">
        <v>17</v>
      </c>
      <c r="H47" s="3">
        <v>46071.372824074075</v>
      </c>
    </row>
    <row r="48" spans="1:8" x14ac:dyDescent="0.25">
      <c r="A48">
        <v>67</v>
      </c>
      <c r="B48">
        <v>76</v>
      </c>
      <c r="C48" s="1">
        <v>46071</v>
      </c>
      <c r="D48" s="2" t="s">
        <v>8</v>
      </c>
      <c r="E48" s="2" t="s">
        <v>9</v>
      </c>
      <c r="F48" s="2" t="s">
        <v>16</v>
      </c>
      <c r="G48" s="2" t="s">
        <v>17</v>
      </c>
      <c r="H48" s="3">
        <v>46071.372824074075</v>
      </c>
    </row>
    <row r="49" spans="1:8" x14ac:dyDescent="0.25">
      <c r="A49">
        <v>68</v>
      </c>
      <c r="B49">
        <v>51</v>
      </c>
      <c r="C49" s="1">
        <v>46071</v>
      </c>
      <c r="D49" s="2" t="s">
        <v>8</v>
      </c>
      <c r="E49" s="2" t="s">
        <v>9</v>
      </c>
      <c r="F49" s="2" t="s">
        <v>16</v>
      </c>
      <c r="G49" s="2" t="s">
        <v>17</v>
      </c>
      <c r="H49" s="3">
        <v>46071.372824074075</v>
      </c>
    </row>
    <row r="50" spans="1:8" x14ac:dyDescent="0.25">
      <c r="A50">
        <v>69</v>
      </c>
      <c r="B50">
        <v>16</v>
      </c>
      <c r="C50" s="1">
        <v>46071</v>
      </c>
      <c r="D50" s="2" t="s">
        <v>8</v>
      </c>
      <c r="E50" s="2" t="s">
        <v>9</v>
      </c>
      <c r="F50" s="2" t="s">
        <v>16</v>
      </c>
      <c r="G50" s="2" t="s">
        <v>17</v>
      </c>
      <c r="H50" s="3">
        <v>46071.372824074075</v>
      </c>
    </row>
    <row r="51" spans="1:8" x14ac:dyDescent="0.25">
      <c r="A51">
        <v>70</v>
      </c>
      <c r="B51">
        <v>66</v>
      </c>
      <c r="C51" s="1">
        <v>46071</v>
      </c>
      <c r="D51" s="2" t="s">
        <v>8</v>
      </c>
      <c r="E51" s="2" t="s">
        <v>9</v>
      </c>
      <c r="F51" s="2" t="s">
        <v>16</v>
      </c>
      <c r="G51" s="2" t="s">
        <v>17</v>
      </c>
      <c r="H51" s="3">
        <v>46071.372824074075</v>
      </c>
    </row>
    <row r="52" spans="1:8" x14ac:dyDescent="0.25">
      <c r="A52">
        <v>71</v>
      </c>
      <c r="B52">
        <v>11</v>
      </c>
      <c r="C52" s="1">
        <v>46071</v>
      </c>
      <c r="D52" s="2" t="s">
        <v>12</v>
      </c>
      <c r="E52" s="2" t="s">
        <v>9</v>
      </c>
      <c r="F52" s="2" t="s">
        <v>16</v>
      </c>
      <c r="G52" s="2" t="s">
        <v>17</v>
      </c>
      <c r="H52" s="3">
        <v>46071.372824074075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A8D2-B71B-44EA-912F-4BEBE005A1AB}">
  <dimension ref="E1:V11"/>
  <sheetViews>
    <sheetView tabSelected="1" topLeftCell="B1" workbookViewId="0">
      <selection activeCell="F6" sqref="F6"/>
    </sheetView>
  </sheetViews>
  <sheetFormatPr defaultRowHeight="15" x14ac:dyDescent="0.25"/>
  <cols>
    <col min="1" max="3" width="9.140625" style="5"/>
    <col min="4" max="4" width="36.85546875" style="5" customWidth="1"/>
    <col min="5" max="6" width="9.140625" style="5"/>
    <col min="7" max="7" width="3.7109375" style="5" customWidth="1"/>
    <col min="8" max="10" width="9.140625" style="5" customWidth="1"/>
    <col min="11" max="11" width="3.42578125" style="5" customWidth="1"/>
    <col min="12" max="14" width="9.140625" style="5"/>
    <col min="15" max="15" width="2.85546875" style="5" customWidth="1"/>
    <col min="16" max="21" width="9.140625" style="5"/>
    <col min="22" max="22" width="5.85546875" style="5" customWidth="1"/>
    <col min="23" max="16384" width="9.140625" style="5"/>
  </cols>
  <sheetData>
    <row r="1" spans="5:22" s="11" customFormat="1" ht="71.25" customHeight="1" x14ac:dyDescent="0.9">
      <c r="E1" s="20" t="s">
        <v>643</v>
      </c>
    </row>
    <row r="2" spans="5:22" ht="15" customHeight="1" x14ac:dyDescent="0.25"/>
    <row r="3" spans="5:22" ht="16.5" customHeight="1" x14ac:dyDescent="0.25">
      <c r="S3" s="17">
        <f>GETPIVOTDATA("last_name",STUD!$A$18)</f>
        <v>79</v>
      </c>
      <c r="T3" s="18"/>
      <c r="U3" s="18"/>
      <c r="V3" s="18"/>
    </row>
    <row r="4" spans="5:22" x14ac:dyDescent="0.25">
      <c r="S4" s="18"/>
      <c r="T4" s="18"/>
      <c r="U4" s="18"/>
      <c r="V4" s="18"/>
    </row>
    <row r="5" spans="5:22" x14ac:dyDescent="0.25">
      <c r="S5" s="18"/>
      <c r="T5" s="18"/>
      <c r="U5" s="18"/>
      <c r="V5" s="18"/>
    </row>
    <row r="6" spans="5:22" ht="21" x14ac:dyDescent="0.35">
      <c r="H6" s="19" t="s">
        <v>639</v>
      </c>
      <c r="I6" s="19"/>
      <c r="J6" s="19"/>
      <c r="K6" s="19"/>
      <c r="L6" s="19" t="s">
        <v>640</v>
      </c>
      <c r="M6" s="19"/>
      <c r="N6" s="19"/>
      <c r="O6" s="19"/>
      <c r="P6" s="19" t="s">
        <v>641</v>
      </c>
      <c r="S6" s="18"/>
      <c r="T6" s="18"/>
      <c r="U6" s="18"/>
      <c r="V6" s="18"/>
    </row>
    <row r="7" spans="5:22" x14ac:dyDescent="0.25">
      <c r="G7" s="14"/>
      <c r="H7" s="8"/>
      <c r="I7" s="8"/>
      <c r="K7" s="12"/>
      <c r="L7" s="8"/>
      <c r="M7" s="8"/>
      <c r="O7" s="15"/>
      <c r="P7" s="8"/>
      <c r="Q7" s="8"/>
      <c r="S7" s="18"/>
      <c r="T7" s="18"/>
      <c r="U7" s="18"/>
      <c r="V7" s="18"/>
    </row>
    <row r="8" spans="5:22" x14ac:dyDescent="0.25">
      <c r="G8" s="14"/>
      <c r="H8" s="8"/>
      <c r="I8" s="8"/>
      <c r="K8" s="12"/>
      <c r="L8" s="8"/>
      <c r="M8" s="8"/>
      <c r="O8" s="15"/>
      <c r="P8" s="8"/>
      <c r="Q8" s="8"/>
      <c r="S8" s="18"/>
      <c r="T8" s="18"/>
      <c r="U8" s="18"/>
      <c r="V8" s="18"/>
    </row>
    <row r="9" spans="5:22" ht="46.5" x14ac:dyDescent="0.7">
      <c r="G9" s="14"/>
      <c r="H9" s="8"/>
      <c r="I9" s="9">
        <f>GETPIVOTDATA("status",ATTEN!$A$3,"status","present","grade_level","GRADE 10")</f>
        <v>16</v>
      </c>
      <c r="J9" s="10"/>
      <c r="K9" s="13"/>
      <c r="L9" s="9"/>
      <c r="M9" s="9">
        <f>GETPIVOTDATA("status",ATTEN!$A$3,"status","absent","grade_level","GRADE 10")</f>
        <v>4</v>
      </c>
      <c r="N9" s="10"/>
      <c r="O9" s="16"/>
      <c r="P9" s="9"/>
      <c r="Q9" s="9">
        <f>GETPIVOTDATA("status",ATTEN!$A$3,"status","late","grade_level","GRADE 10")</f>
        <v>0</v>
      </c>
      <c r="S9" s="18"/>
      <c r="T9" s="18"/>
      <c r="U9" s="18"/>
      <c r="V9" s="18"/>
    </row>
    <row r="10" spans="5:22" x14ac:dyDescent="0.25">
      <c r="G10" s="14"/>
      <c r="H10" s="8"/>
      <c r="I10" s="8"/>
      <c r="K10" s="12"/>
      <c r="L10" s="8"/>
      <c r="M10" s="8"/>
      <c r="O10" s="15"/>
      <c r="P10" s="8"/>
      <c r="Q10" s="8"/>
      <c r="S10" s="18"/>
      <c r="T10" s="18"/>
      <c r="U10" s="18"/>
      <c r="V10" s="18"/>
    </row>
    <row r="11" spans="5:22" x14ac:dyDescent="0.25">
      <c r="G11" s="14"/>
      <c r="H11" s="8"/>
      <c r="I11" s="8"/>
      <c r="K11" s="12"/>
      <c r="L11" s="8"/>
      <c r="M11" s="8"/>
      <c r="O11" s="15"/>
      <c r="P11" s="8"/>
      <c r="Q11" s="8"/>
      <c r="S11" s="18"/>
      <c r="T11" s="18"/>
      <c r="U11" s="18"/>
      <c r="V11" s="18"/>
    </row>
  </sheetData>
  <mergeCells count="1">
    <mergeCell ref="S3:V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3E9747-1DCE-4E3E-A6DF-157500211D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users</vt:lpstr>
      <vt:lpstr>SCHED</vt:lpstr>
      <vt:lpstr>schedules</vt:lpstr>
      <vt:lpstr>grades</vt:lpstr>
      <vt:lpstr>FINAL</vt:lpstr>
      <vt:lpstr>final_grades</vt:lpstr>
      <vt:lpstr>classes</vt:lpstr>
      <vt:lpstr>STUD</vt:lpstr>
      <vt:lpstr>class_students</vt:lpstr>
      <vt:lpstr>class_activities</vt:lpstr>
      <vt:lpstr>ATTEN</vt:lpstr>
      <vt:lpstr>attendance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Odarve</dc:creator>
  <cp:lastModifiedBy>Vincent Odarve</cp:lastModifiedBy>
  <dcterms:created xsi:type="dcterms:W3CDTF">2026-02-18T01:06:19Z</dcterms:created>
  <dcterms:modified xsi:type="dcterms:W3CDTF">2026-02-18T01:54:32Z</dcterms:modified>
</cp:coreProperties>
</file>