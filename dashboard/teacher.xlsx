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7.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C396B913-D6F3-481F-8C17-D0D167DF1149}" xr6:coauthVersionLast="47" xr6:coauthVersionMax="47" xr10:uidLastSave="{00000000-0000-0000-0000-000000000000}"/>
  <bookViews>
    <workbookView xWindow="-120" yWindow="-120" windowWidth="29040" windowHeight="15720" firstSheet="8" activeTab="16" xr2:uid="{7BEB959A-6EC5-461A-9A47-B61172B31F87}"/>
  </bookViews>
  <sheets>
    <sheet name="users" sheetId="9" r:id="rId1"/>
    <sheet name="Sheet6" sheetId="15" r:id="rId2"/>
    <sheet name="schedules" sheetId="8" r:id="rId3"/>
    <sheet name="grades" sheetId="7" r:id="rId4"/>
    <sheet name="Sheet8" sheetId="17" r:id="rId5"/>
    <sheet name="final_grades" sheetId="6" r:id="rId6"/>
    <sheet name="Sheet7" sheetId="16" r:id="rId7"/>
    <sheet name="classes" sheetId="5" r:id="rId8"/>
    <sheet name="Sheet2" sheetId="10" r:id="rId9"/>
    <sheet name="Sheet4" sheetId="13" r:id="rId10"/>
    <sheet name="Sheet10" sheetId="19" r:id="rId11"/>
    <sheet name="class_students" sheetId="4" r:id="rId12"/>
    <sheet name="Sheet9" sheetId="18" r:id="rId13"/>
    <sheet name="class_activities" sheetId="3" r:id="rId14"/>
    <sheet name="attendance" sheetId="2" r:id="rId15"/>
    <sheet name="Detail1" sheetId="12" state="hidden" r:id="rId16"/>
    <sheet name="DASHBOARD" sheetId="1" r:id="rId17"/>
    <sheet name="Sheet3" sheetId="11" r:id="rId18"/>
  </sheets>
  <definedNames>
    <definedName name="ExternalData_1" localSheetId="14" hidden="1">attendance!$A$1:$F$21</definedName>
    <definedName name="ExternalData_2" localSheetId="13" hidden="1">'class_activities'!$A$1:$E$2</definedName>
    <definedName name="ExternalData_3" localSheetId="11" hidden="1">'class_students'!$A$1:$H$79</definedName>
    <definedName name="ExternalData_4" localSheetId="7" hidden="1">'classes'!$A$1:$F$6</definedName>
    <definedName name="ExternalData_5" localSheetId="5" hidden="1">final_grades!$A$1:$J$3</definedName>
    <definedName name="ExternalData_6" localSheetId="3" hidden="1">grades!$A$1:$G$26</definedName>
    <definedName name="ExternalData_7" localSheetId="2" hidden="1">schedules!$A$1:$G$6</definedName>
    <definedName name="ExternalData_8" localSheetId="0" hidden="1">users!$A$1:$I$161</definedName>
    <definedName name="Slicer_date">#N/A</definedName>
    <definedName name="Slicer_grade_level">#N/A</definedName>
    <definedName name="Slicer_section">#N/A</definedName>
    <definedName name="Slicer_subject">#N/A</definedName>
  </definedNames>
  <calcPr calcId="191029"/>
  <pivotCaches>
    <pivotCache cacheId="73" r:id="rId19"/>
    <pivotCache cacheId="78" r:id="rId20"/>
    <pivotCache cacheId="81" r:id="rId21"/>
    <pivotCache cacheId="87" r:id="rId22"/>
    <pivotCache cacheId="91" r:id="rId23"/>
    <pivotCache cacheId="96"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2" i="1" l="1"/>
  <c r="AB22" i="1"/>
  <c r="X22" i="1"/>
  <c r="X21" i="1"/>
  <c r="L12" i="1"/>
  <c r="H12" i="1"/>
  <c r="T12" i="1"/>
  <c r="P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BB0E84-A587-4692-A395-B500E2AB41CE}" keepAlive="1" name="Query - attendance" description="Connection to the 'attendance' query in the workbook." type="5" refreshedVersion="8" background="1" saveData="1">
    <dbPr connection="Provider=Microsoft.Mashup.OleDb.1;Data Source=$Workbook$;Location=attendance;Extended Properties=&quot;&quot;" command="SELECT * FROM [attendance]"/>
  </connection>
  <connection id="2" xr16:uid="{56628DC2-02E4-4417-960B-5FAAF87111AB}" keepAlive="1" name="Query - class_activities" description="Connection to the 'class_activities' query in the workbook." type="5" refreshedVersion="8" background="1" saveData="1">
    <dbPr connection="Provider=Microsoft.Mashup.OleDb.1;Data Source=$Workbook$;Location=class_activities;Extended Properties=&quot;&quot;" command="SELECT * FROM [class_activities]"/>
  </connection>
  <connection id="3" xr16:uid="{071C4F17-0301-410D-8518-A568A3825775}" keepAlive="1" name="Query - class_students" description="Connection to the 'class_students' query in the workbook." type="5" refreshedVersion="8" background="1" saveData="1">
    <dbPr connection="Provider=Microsoft.Mashup.OleDb.1;Data Source=$Workbook$;Location=class_students;Extended Properties=&quot;&quot;" command="SELECT * FROM [class_students]"/>
  </connection>
  <connection id="4" xr16:uid="{EA05A1F5-2CB9-4B3D-AB7E-968BCC4B2485}" keepAlive="1" name="Query - classes" description="Connection to the 'classes' query in the workbook." type="5" refreshedVersion="8" background="1" saveData="1">
    <dbPr connection="Provider=Microsoft.Mashup.OleDb.1;Data Source=$Workbook$;Location=classes;Extended Properties=&quot;&quot;" command="SELECT * FROM [classes]"/>
  </connection>
  <connection id="5" xr16:uid="{272E0C49-E88A-4F55-AB47-A1C2CAB6E653}" keepAlive="1" name="Query - final_grades" description="Connection to the 'final_grades' query in the workbook." type="5" refreshedVersion="8" background="1" saveData="1">
    <dbPr connection="Provider=Microsoft.Mashup.OleDb.1;Data Source=$Workbook$;Location=final_grades;Extended Properties=&quot;&quot;" command="SELECT * FROM [final_grades]"/>
  </connection>
  <connection id="6" xr16:uid="{D585387D-7A23-43D5-BE84-F8E91B5F7B84}" keepAlive="1" name="Query - grades" description="Connection to the 'grades' query in the workbook." type="5" refreshedVersion="8" background="1" saveData="1">
    <dbPr connection="Provider=Microsoft.Mashup.OleDb.1;Data Source=$Workbook$;Location=grades;Extended Properties=&quot;&quot;" command="SELECT * FROM [grades]"/>
  </connection>
  <connection id="7" xr16:uid="{C26E4008-0223-437D-8C62-B6AF88CA76E1}" keepAlive="1" name="Query - schedules" description="Connection to the 'schedules' query in the workbook." type="5" refreshedVersion="8" background="1" saveData="1">
    <dbPr connection="Provider=Microsoft.Mashup.OleDb.1;Data Source=$Workbook$;Location=schedules;Extended Properties=&quot;&quot;" command="SELECT * FROM [schedules]"/>
  </connection>
  <connection id="8" xr16:uid="{B198708C-2155-403E-8D71-A09CEDBD549C}"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<sst xmlns="http://schemas.openxmlformats.org/spreadsheetml/2006/main" count="1389" uniqueCount="633">
  <si>
    <t>id</t>
  </si>
  <si>
    <t>student_id</t>
  </si>
  <si>
    <t>date</t>
  </si>
  <si>
    <t>status</t>
  </si>
  <si>
    <t>remarks</t>
  </si>
  <si>
    <t>created_at</t>
  </si>
  <si>
    <t>present</t>
  </si>
  <si>
    <t/>
  </si>
  <si>
    <t>absent</t>
  </si>
  <si>
    <t>class_id</t>
  </si>
  <si>
    <t>activity_date</t>
  </si>
  <si>
    <t>activity_text</t>
  </si>
  <si>
    <t>FUNRUN</t>
  </si>
  <si>
    <t>first_name</t>
  </si>
  <si>
    <t>last_name</t>
  </si>
  <si>
    <t>middle_name</t>
  </si>
  <si>
    <t>gender</t>
  </si>
  <si>
    <t>VICTOR</t>
  </si>
  <si>
    <t>ODARVE</t>
  </si>
  <si>
    <t>E</t>
  </si>
  <si>
    <t>Male</t>
  </si>
  <si>
    <t>02-2324-13335</t>
  </si>
  <si>
    <t>GABRIEL</t>
  </si>
  <si>
    <t>MADRIDANO</t>
  </si>
  <si>
    <t>M</t>
  </si>
  <si>
    <t>02-2324-11111</t>
  </si>
  <si>
    <t>Mason</t>
  </si>
  <si>
    <t>Morales</t>
  </si>
  <si>
    <t>FIL-005-01-01</t>
  </si>
  <si>
    <t>Olivia</t>
  </si>
  <si>
    <t>Fernandez</t>
  </si>
  <si>
    <t>SCI-101-02-01</t>
  </si>
  <si>
    <t>Amelia</t>
  </si>
  <si>
    <t>Cruz</t>
  </si>
  <si>
    <t>MATH-102-03-01</t>
  </si>
  <si>
    <t>James</t>
  </si>
  <si>
    <t>Mendoza</t>
  </si>
  <si>
    <t>MATH-102-04-01</t>
  </si>
  <si>
    <t>Noah</t>
  </si>
  <si>
    <t>Ramos</t>
  </si>
  <si>
    <t>ENG-103-05-01</t>
  </si>
  <si>
    <t>Sophia</t>
  </si>
  <si>
    <t>Female</t>
  </si>
  <si>
    <t>FIL-005-01-02</t>
  </si>
  <si>
    <t>Lucas</t>
  </si>
  <si>
    <t>Garcia</t>
  </si>
  <si>
    <t>SCI-101-02-02</t>
  </si>
  <si>
    <t>Elijah</t>
  </si>
  <si>
    <t>Rivera</t>
  </si>
  <si>
    <t>MATH-102-03-02</t>
  </si>
  <si>
    <t>Benjamin</t>
  </si>
  <si>
    <t>Torres</t>
  </si>
  <si>
    <t>MATH-102-04-02</t>
  </si>
  <si>
    <t>Bautista</t>
  </si>
  <si>
    <t>ENG-103-05-02</t>
  </si>
  <si>
    <t>Isabella</t>
  </si>
  <si>
    <t>Villanueva</t>
  </si>
  <si>
    <t>FIL-005-01-03</t>
  </si>
  <si>
    <t>Flores</t>
  </si>
  <si>
    <t>SCI-101-02-03</t>
  </si>
  <si>
    <t>Santos</t>
  </si>
  <si>
    <t>MATH-102-03-03</t>
  </si>
  <si>
    <t>Salazar</t>
  </si>
  <si>
    <t>MATH-102-04-03</t>
  </si>
  <si>
    <t>Charlotte</t>
  </si>
  <si>
    <t>ENG-103-05-03</t>
  </si>
  <si>
    <t>Ethan</t>
  </si>
  <si>
    <t>Navarro</t>
  </si>
  <si>
    <t>FIL-005-01-04</t>
  </si>
  <si>
    <t>Emma</t>
  </si>
  <si>
    <t>SCI-101-02-04</t>
  </si>
  <si>
    <t>Henry</t>
  </si>
  <si>
    <t>MATH-102-03-04</t>
  </si>
  <si>
    <t>Ava</t>
  </si>
  <si>
    <t>MATH-102-04-04</t>
  </si>
  <si>
    <t>ENG-103-05-04</t>
  </si>
  <si>
    <t>FIL-005-01-05</t>
  </si>
  <si>
    <t>Diaz</t>
  </si>
  <si>
    <t>SCI-101-02-05</t>
  </si>
  <si>
    <t>Aquino</t>
  </si>
  <si>
    <t>MATH-102-03-05</t>
  </si>
  <si>
    <t>MATH-102-04-05</t>
  </si>
  <si>
    <t>Castro</t>
  </si>
  <si>
    <t>ENG-103-05-05</t>
  </si>
  <si>
    <t>FIL-005-01-06</t>
  </si>
  <si>
    <t>Daniel</t>
  </si>
  <si>
    <t>SCI-101-02-06</t>
  </si>
  <si>
    <t>Gonzales</t>
  </si>
  <si>
    <t>MATH-102-03-06</t>
  </si>
  <si>
    <t>Domingo</t>
  </si>
  <si>
    <t>MATH-102-04-06</t>
  </si>
  <si>
    <t>Alexander</t>
  </si>
  <si>
    <t>ENG-103-05-06</t>
  </si>
  <si>
    <t>FIL-005-01-07</t>
  </si>
  <si>
    <t>SCI-101-02-07</t>
  </si>
  <si>
    <t>MATH-102-03-07</t>
  </si>
  <si>
    <t>MATH-102-04-07</t>
  </si>
  <si>
    <t>Reyes</t>
  </si>
  <si>
    <t>ENG-103-05-07</t>
  </si>
  <si>
    <t>FIL-005-01-08</t>
  </si>
  <si>
    <t>SCI-101-02-08</t>
  </si>
  <si>
    <t>MATH-102-03-08</t>
  </si>
  <si>
    <t>MATH-102-04-08</t>
  </si>
  <si>
    <t>ENG-103-05-08</t>
  </si>
  <si>
    <t>FIL-005-01-09</t>
  </si>
  <si>
    <t>SCI-101-02-09</t>
  </si>
  <si>
    <t>MATH-102-03-09</t>
  </si>
  <si>
    <t>MATH-102-04-09</t>
  </si>
  <si>
    <t>ENG-103-05-09</t>
  </si>
  <si>
    <t>FIL-005-01-10</t>
  </si>
  <si>
    <t>SCI-101-02-10</t>
  </si>
  <si>
    <t>MATH-102-03-10</t>
  </si>
  <si>
    <t>MATH-102-04-10</t>
  </si>
  <si>
    <t>ENG-103-05-10</t>
  </si>
  <si>
    <t>FIL-005-01-11</t>
  </si>
  <si>
    <t>SCI-101-02-11</t>
  </si>
  <si>
    <t>MATH-102-03-11</t>
  </si>
  <si>
    <t>MATH-102-04-11</t>
  </si>
  <si>
    <t>ENG-103-05-11</t>
  </si>
  <si>
    <t>FIL-005-01-12</t>
  </si>
  <si>
    <t>Mia</t>
  </si>
  <si>
    <t>SCI-101-02-12</t>
  </si>
  <si>
    <t>MATH-102-03-12</t>
  </si>
  <si>
    <t>MATH-102-04-12</t>
  </si>
  <si>
    <t>ENG-103-05-12</t>
  </si>
  <si>
    <t>FIL-005-01-13</t>
  </si>
  <si>
    <t>SCI-101-02-13</t>
  </si>
  <si>
    <t>MATH-102-03-13</t>
  </si>
  <si>
    <t>MATH-102-04-13</t>
  </si>
  <si>
    <t>ENG-103-05-13</t>
  </si>
  <si>
    <t>FIL-005-01-14</t>
  </si>
  <si>
    <t>SCI-101-02-14</t>
  </si>
  <si>
    <t>MATH-102-03-14</t>
  </si>
  <si>
    <t>MATH-102-04-14</t>
  </si>
  <si>
    <t>ENG-103-05-14</t>
  </si>
  <si>
    <t>FIL-005-01-15</t>
  </si>
  <si>
    <t>SCI-101-02-15</t>
  </si>
  <si>
    <t>MATH-102-03-15</t>
  </si>
  <si>
    <t>MATH-102-04-15</t>
  </si>
  <si>
    <t>ENG-103-05-15</t>
  </si>
  <si>
    <t>JAPHET</t>
  </si>
  <si>
    <t>DOROIN</t>
  </si>
  <si>
    <t>C</t>
  </si>
  <si>
    <t>02-2324-12345</t>
  </si>
  <si>
    <t>grade_level</t>
  </si>
  <si>
    <t>section</t>
  </si>
  <si>
    <t>subject</t>
  </si>
  <si>
    <t>subject_code</t>
  </si>
  <si>
    <t>GRADE 10</t>
  </si>
  <si>
    <t>RIZAL</t>
  </si>
  <si>
    <t>FILIPINO</t>
  </si>
  <si>
    <t>FIL-005</t>
  </si>
  <si>
    <t>GRADE 9</t>
  </si>
  <si>
    <t>HONESTY</t>
  </si>
  <si>
    <t>SCIENCE</t>
  </si>
  <si>
    <t>SCI-101</t>
  </si>
  <si>
    <t>GRADE 8</t>
  </si>
  <si>
    <t>SATURN</t>
  </si>
  <si>
    <t>MATHEMATICS</t>
  </si>
  <si>
    <t>MATH-102</t>
  </si>
  <si>
    <t>MARS</t>
  </si>
  <si>
    <t>GRADE 7</t>
  </si>
  <si>
    <t>PASCAL</t>
  </si>
  <si>
    <t>ENGLISH</t>
  </si>
  <si>
    <t>ENG-103</t>
  </si>
  <si>
    <t>q1_grade</t>
  </si>
  <si>
    <t>q2_grade</t>
  </si>
  <si>
    <t>q3_grade</t>
  </si>
  <si>
    <t>q4_grade</t>
  </si>
  <si>
    <t>raw_final_grade</t>
  </si>
  <si>
    <t>rounded_final_grade</t>
  </si>
  <si>
    <t>finalized_at</t>
  </si>
  <si>
    <t>PASSED</t>
  </si>
  <si>
    <t>FAILED</t>
  </si>
  <si>
    <t>quarter</t>
  </si>
  <si>
    <t>grade_type</t>
  </si>
  <si>
    <t>scores</t>
  </si>
  <si>
    <t>total_score</t>
  </si>
  <si>
    <t>pt</t>
  </si>
  <si>
    <t>["45","18","25","","","",""]</t>
  </si>
  <si>
    <t>["50","20","30","","","",""]</t>
  </si>
  <si>
    <t>ww</t>
  </si>
  <si>
    <t>["12","20","10","8","5","","","","",""]</t>
  </si>
  <si>
    <t>["15","25","10","10","10","","","","",""]</t>
  </si>
  <si>
    <t>as</t>
  </si>
  <si>
    <t>["42","","","",""]</t>
  </si>
  <si>
    <t>["50","","","",""]</t>
  </si>
  <si>
    <t>["14","22","9","10","","","","","",""]</t>
  </si>
  <si>
    <t>["15","25","10","10","","","","","",""]</t>
  </si>
  <si>
    <t>["45","","","",""]</t>
  </si>
  <si>
    <t>["48","18","27","","","",""]</t>
  </si>
  <si>
    <t>["15","23","10","9","","","","","",""]</t>
  </si>
  <si>
    <t>["50","19","28","","","",""]</t>
  </si>
  <si>
    <t>["46","","","",""]</t>
  </si>
  <si>
    <t>["14","24","9","10","","","","","",""]</t>
  </si>
  <si>
    <t>["48","","","",""]</t>
  </si>
  <si>
    <t>["20","10","15","","","",""]</t>
  </si>
  <si>
    <t>["8","15","5","6","3","","","","",""]</t>
  </si>
  <si>
    <t>["28","","","",""]</t>
  </si>
  <si>
    <t>["10","16","7","6","","","","","",""]</t>
  </si>
  <si>
    <t>["25","12","18","","","",""]</t>
  </si>
  <si>
    <t>["30","","","",""]</t>
  </si>
  <si>
    <t>["9","17","6","7","","","","","",""]</t>
  </si>
  <si>
    <t>["22","11","15","","","",""]</t>
  </si>
  <si>
    <t>["12","18","7","6","","","","","",""]</t>
  </si>
  <si>
    <t>["35","","","",""]</t>
  </si>
  <si>
    <t>["30","14","20","","","",""]</t>
  </si>
  <si>
    <t>["01","","","","","","","","",""]</t>
  </si>
  <si>
    <t>["10","","","","","","","","",""]</t>
  </si>
  <si>
    <t>day_of_week</t>
  </si>
  <si>
    <t>start_time</t>
  </si>
  <si>
    <t>end_time</t>
  </si>
  <si>
    <t>room</t>
  </si>
  <si>
    <t>Monday</t>
  </si>
  <si>
    <t>ROOM 105</t>
  </si>
  <si>
    <t>Tuesday</t>
  </si>
  <si>
    <t>ROOM 101</t>
  </si>
  <si>
    <t>Wednesday</t>
  </si>
  <si>
    <t>ROOM 102</t>
  </si>
  <si>
    <t>Thursday</t>
  </si>
  <si>
    <t>ROOM 103</t>
  </si>
  <si>
    <t>Friday</t>
  </si>
  <si>
    <t>ROOM 104</t>
  </si>
  <si>
    <t>name</t>
  </si>
  <si>
    <t>username</t>
  </si>
  <si>
    <t>email</t>
  </si>
  <si>
    <t>password</t>
  </si>
  <si>
    <t>role</t>
  </si>
  <si>
    <t>student_profile_id</t>
  </si>
  <si>
    <t>last_login_at</t>
  </si>
  <si>
    <t>Administrator</t>
  </si>
  <si>
    <t>admin</t>
  </si>
  <si>
    <t>$2y$10$DIhy.ppcYkX/NU14xC78/.dFRUer85PVwj4bc0s07AYyBlN4Wmwsy</t>
  </si>
  <si>
    <t>Teacher One</t>
  </si>
  <si>
    <t>teacher1</t>
  </si>
  <si>
    <t>teacher</t>
  </si>
  <si>
    <t>Teacher Two</t>
  </si>
  <si>
    <t>teacher2</t>
  </si>
  <si>
    <t>Student One</t>
  </si>
  <si>
    <t>student1</t>
  </si>
  <si>
    <t>student</t>
  </si>
  <si>
    <t>Student Two</t>
  </si>
  <si>
    <t>student2</t>
  </si>
  <si>
    <t>VICTOR ODARVE</t>
  </si>
  <si>
    <t>02-2324-13335@student.local</t>
  </si>
  <si>
    <t>$2y$10$4YErfST4rvuC/V3rWefnMuDTqcdhfW36gtqwTuCk.V8dphH6XGyeK</t>
  </si>
  <si>
    <t>GABRIEL MADRIDANO</t>
  </si>
  <si>
    <t>02-2324-11111@student.local</t>
  </si>
  <si>
    <t>$2y$10$4hrNswrLFPp3zO0RDrNdF.XkZTvKOox/3TlJ5JDZjy6gXSDbosyK6</t>
  </si>
  <si>
    <t>Mason Morales</t>
  </si>
  <si>
    <t>fil-005-01-01@student.local</t>
  </si>
  <si>
    <t>$2y$10$Hk50v6VOEs6hTrPwTvnzl.KH53tEuleAeqDvotAe3XyNvbDOT.50W</t>
  </si>
  <si>
    <t>Olivia Fernandez</t>
  </si>
  <si>
    <t>sci-101-02-01@student.local</t>
  </si>
  <si>
    <t>$2y$10$6g37nwxTcVdUnH3WO2ur5ug4wWcPQJwPNxu9vdZCcgYE12ltBea9C</t>
  </si>
  <si>
    <t>Amelia Cruz</t>
  </si>
  <si>
    <t>math-102-03-01@student.local</t>
  </si>
  <si>
    <t>$2y$10$zc6S4JcKea3zlUY1eRVNh.fU29trXGyAFNJxtA8StIOPTim2Jmfvm</t>
  </si>
  <si>
    <t>James Mendoza</t>
  </si>
  <si>
    <t>math-102-04-01@student.local</t>
  </si>
  <si>
    <t>$2y$10$sg3v8HYi.0nauqb0JvVxvOpFEICJgNv0jUw.ugiaZJ3xaOlKDmMOe</t>
  </si>
  <si>
    <t>Noah Ramos</t>
  </si>
  <si>
    <t>eng-103-05-01@student.local</t>
  </si>
  <si>
    <t>$2y$10$zg1tRPoJWpCSYf5z9p2OS.tWo9NdCQdPHMKVducRr.DW4.Tna2Q22</t>
  </si>
  <si>
    <t>Sophia Ramos</t>
  </si>
  <si>
    <t>fil-005-01-02@student.local</t>
  </si>
  <si>
    <t>$2y$10$Hzboagxk2jyzaxCkCS2/2.3S9P/1oYSLnGlEtLO9F4.CQ6G.u7Nj6</t>
  </si>
  <si>
    <t>Lucas Garcia</t>
  </si>
  <si>
    <t>sci-101-02-02@student.local</t>
  </si>
  <si>
    <t>$2y$10$8YquRisYAdqupXErp5a39.b.HxvoTO1onEWdY6eoO3zKuLpKBljm6</t>
  </si>
  <si>
    <t>Elijah Rivera</t>
  </si>
  <si>
    <t>math-102-03-02@student.local</t>
  </si>
  <si>
    <t>$2y$10$cBFf/mCxYUqn5mc3sGPhaOZfIG5G73WcEBhcpJpWidZgmV7Ypfx0.</t>
  </si>
  <si>
    <t>Benjamin Torres</t>
  </si>
  <si>
    <t>math-102-04-02@student.local</t>
  </si>
  <si>
    <t>$2y$10$45JRiwwWs8fH7u4yZ9eJMerpXSYkFo40GdzGCCawTJciOr8SLeCQy</t>
  </si>
  <si>
    <t>Elijah Bautista</t>
  </si>
  <si>
    <t>eng-103-05-02@student.local</t>
  </si>
  <si>
    <t>$2y$10$gm0BRkjgCRLo.dd5pRDgsOUj3kDHHSpxRPcwcumxz8KkTp.fa86.C</t>
  </si>
  <si>
    <t>Isabella Villanueva</t>
  </si>
  <si>
    <t>fil-005-01-03@student.local</t>
  </si>
  <si>
    <t>$2y$10$2cvbH93Ay0FOxrpdWpaUrOntqe0VavGg3nP/mjIDePvfzSj4H8cu.</t>
  </si>
  <si>
    <t>Sophia Flores</t>
  </si>
  <si>
    <t>sci-101-02-03@student.local</t>
  </si>
  <si>
    <t>$2y$10$HRgbpjXQWxXYGfV01JhhFuKTNbn6jnA2mOYNK6HfWVPKk3qYv5bSu</t>
  </si>
  <si>
    <t>Noah Santos</t>
  </si>
  <si>
    <t>math-102-03-03@student.local</t>
  </si>
  <si>
    <t>$2y$10$QwZuZ2njbtfjMv/eex2ZAOEq27vkxvsp7f/2pn3hsd5YSdh4/zbo.</t>
  </si>
  <si>
    <t>Isabella Salazar</t>
  </si>
  <si>
    <t>math-102-04-03@student.local</t>
  </si>
  <si>
    <t>$2y$10$pxfakqU3ZgI9A/a5.1XIYeDXkmhy8FL/oKbCCMXZiCCNTqM6SY5V6</t>
  </si>
  <si>
    <t>Charlotte Mendoza</t>
  </si>
  <si>
    <t>eng-103-05-03@student.local</t>
  </si>
  <si>
    <t>$2y$10$FwMHB7JHvdoXmn2sxN100.rn7iCuEKcnokfn.mqXnnNHPZp0mxajC</t>
  </si>
  <si>
    <t>Ethan Navarro</t>
  </si>
  <si>
    <t>fil-005-01-04@student.local</t>
  </si>
  <si>
    <t>$2y$10$ap0HAPdxx77hxs9e60ZqueT1nlStsTEVpQDL44CoeCPhi9Jn2k/BG</t>
  </si>
  <si>
    <t>Emma Villanueva</t>
  </si>
  <si>
    <t>sci-101-02-04@student.local</t>
  </si>
  <si>
    <t>$2y$10$4wboMlIO.QDEP/KoEoHmTuwbOVk6GZ65.5RzNeuQEo2yrcDz5vMFa</t>
  </si>
  <si>
    <t>Henry Garcia</t>
  </si>
  <si>
    <t>math-102-03-04@student.local</t>
  </si>
  <si>
    <t>$2y$10$2ihvAiNGCqZP6o5IDbYdAeeICAa62qc99oo2eHRDOukCDPSiR0Op.</t>
  </si>
  <si>
    <t>Ava Flores</t>
  </si>
  <si>
    <t>math-102-04-04@student.local</t>
  </si>
  <si>
    <t>$2y$10$aOYl1lQ9/2tIUzin8jP1Suu.CaEpihpIqnQLISTF1zG4M1nqjclju</t>
  </si>
  <si>
    <t>Isabella Cruz</t>
  </si>
  <si>
    <t>eng-103-05-04@student.local</t>
  </si>
  <si>
    <t>$2y$10$JfYL0x1qYgHKvay3jHjiMutGKW54xQEvQFJS..JD7hIaeAedJZHQW</t>
  </si>
  <si>
    <t>Ava Navarro</t>
  </si>
  <si>
    <t>fil-005-01-05@student.local</t>
  </si>
  <si>
    <t>$2y$10$wHQ.FVsCvYXITAQg957rwOx3lJq0tWUC/UjtOabTxnei.WA/qZIOW</t>
  </si>
  <si>
    <t>James Diaz</t>
  </si>
  <si>
    <t>sci-101-02-05@student.local</t>
  </si>
  <si>
    <t>$2y$10$Rjg05q5AjeS25aQSxecaJ.8fZP5VOUmEO81sd6Kk/VeU7aS78sCq2</t>
  </si>
  <si>
    <t>Ava Aquino</t>
  </si>
  <si>
    <t>math-102-03-05@student.local</t>
  </si>
  <si>
    <t>$2y$10$dVZXyK0ftnZk8uXjwkXHr.m7Bn3KKbeySpjvWSKbO0VHBCF.xUMBu</t>
  </si>
  <si>
    <t>Lucas Bautista</t>
  </si>
  <si>
    <t>math-102-04-05@student.local</t>
  </si>
  <si>
    <t>$2y$10$jvUUNfDK7zy06zGUOUJ5Pu3dq1bP8xNiW4JwyioLHnEgGT6HJL3SW</t>
  </si>
  <si>
    <t>Sophia Castro</t>
  </si>
  <si>
    <t>eng-103-05-05@student.local</t>
  </si>
  <si>
    <t>$2y$10$fHEUm4LQ6nuNfVdV1MoAS.cKxEmdvaC2aZ1itzWE43RoCxE.euLTS</t>
  </si>
  <si>
    <t>Ava Diaz</t>
  </si>
  <si>
    <t>fil-005-01-06@student.local</t>
  </si>
  <si>
    <t>$2y$10$GO3oXIWyyfFq4gjFveSIT.bpQZ1jZgQGoEOwu3K.Nx8Vnufj8s8o6</t>
  </si>
  <si>
    <t>Daniel Castro</t>
  </si>
  <si>
    <t>sci-101-02-06@student.local</t>
  </si>
  <si>
    <t>$2y$10$bH26mt0WopBE8mkAe3NEdesr5HQGHa8VLiUtYB/91VNOsXXUI46ku</t>
  </si>
  <si>
    <t>Mason Gonzales</t>
  </si>
  <si>
    <t>math-102-03-06@student.local</t>
  </si>
  <si>
    <t>$2y$10$WCcTX2tCRHGNaLCvCq2zL.0dTY/69RmpTgNXWhbho.QKDrkMzRNG.</t>
  </si>
  <si>
    <t>Ethan Domingo</t>
  </si>
  <si>
    <t>math-102-04-06@student.local</t>
  </si>
  <si>
    <t>$2y$10$8RhiejKGfhgbOc6GdnC4W.FU2hwWdWeT.sTA6HKqnwKys/WXUXZp6</t>
  </si>
  <si>
    <t>Alexander Castro</t>
  </si>
  <si>
    <t>eng-103-05-06@student.local</t>
  </si>
  <si>
    <t>$2y$10$TEzu3K7xHvlzOlZR1KP3DOKEZUSuZCyKxKT7unNx/14FugJdZwKJ6</t>
  </si>
  <si>
    <t>fil-005-01-07@student.local</t>
  </si>
  <si>
    <t>$2y$10$JqCNCpzCIa9oueBhFPpEHexc9eeq.W5RxxWtBFgmywJQPzcjT9766</t>
  </si>
  <si>
    <t>Noah Mendoza</t>
  </si>
  <si>
    <t>sci-101-02-07@student.local</t>
  </si>
  <si>
    <t>$2y$10$oWrXeguVPSKbf9kHSnbkOuXWtynDC3gzeVoQBR2z3l2qPJXn0X8mK</t>
  </si>
  <si>
    <t>Alexander Aquino</t>
  </si>
  <si>
    <t>math-102-03-07@student.local</t>
  </si>
  <si>
    <t>$2y$10$3WpFjlQELEQJgO/Lny3K/.MsOfZjDeRk0lwhrSWkiGJ3LLnwk5fw2</t>
  </si>
  <si>
    <t>Noah Fernandez</t>
  </si>
  <si>
    <t>math-102-04-07@student.local</t>
  </si>
  <si>
    <t>$2y$10$cr.EkwIQ.wDALmpfOsDyjOjomZG4vXdIP6wHX5N6C7guQwjxvzoxG</t>
  </si>
  <si>
    <t>Olivia Reyes</t>
  </si>
  <si>
    <t>eng-103-05-07@student.local</t>
  </si>
  <si>
    <t>$2y$10$ybGS9lw98HvTW5WtO1Qxteo6H7sVdQBFk.3cLhytH6u3jbKO5rq52</t>
  </si>
  <si>
    <t>Benjamin Rivera</t>
  </si>
  <si>
    <t>fil-005-01-08@student.local</t>
  </si>
  <si>
    <t>$2y$10$dCwD7aqHV57L2Tuk3L4K.O7eWN/oR1wQLt1Hj1ZSint4.uYrpZpb.</t>
  </si>
  <si>
    <t>Henry Rivera</t>
  </si>
  <si>
    <t>sci-101-02-08@student.local</t>
  </si>
  <si>
    <t>$2y$10$PjtQk0ulhScCTOhKd34QmepGVuMJgCSVHA75uRMmOsrqkOPiwb.wO</t>
  </si>
  <si>
    <t>math-102-03-08@student.local</t>
  </si>
  <si>
    <t>$2y$10$t//WhJkq6uG8KYXxq13Ri.6bh0HJ.T2hhSpAeTnP34xLsJA6taB1i</t>
  </si>
  <si>
    <t>Alexander Gonzales</t>
  </si>
  <si>
    <t>math-102-04-08@student.local</t>
  </si>
  <si>
    <t>$2y$10$n1UQowX1sIu/zbbfGEqAsOcuJ8DtkPluNyG8X.E.UI48BL7YbPoQu</t>
  </si>
  <si>
    <t>James Aquino</t>
  </si>
  <si>
    <t>eng-103-05-08@student.local</t>
  </si>
  <si>
    <t>$2y$10$/upnpnwva0PSPOOGoY6PnOzeYDzwyQR0cnPDiHIVKy54GMM8Gqjqi</t>
  </si>
  <si>
    <t>Ethan Mendoza</t>
  </si>
  <si>
    <t>fil-005-01-09@student.local</t>
  </si>
  <si>
    <t>$2y$10$Y9PZwU8KE18ErZpSl/oBWOXYlJ31KTox15O7Z4UrlPZ6KNzGrgX62</t>
  </si>
  <si>
    <t>sci-101-02-09@student.local</t>
  </si>
  <si>
    <t>$2y$10$sHluff1waBK.K8J0Ix1wWO01GTKmyNvz.6jkHY2bmTVqSUMX./NOW</t>
  </si>
  <si>
    <t>James Santos</t>
  </si>
  <si>
    <t>math-102-03-09@student.local</t>
  </si>
  <si>
    <t>$2y$10$UsOXFmvtLBdDVkZ3wMkBUOcBpB7wTNqLisVCT.l27g7NRY6niNHmm</t>
  </si>
  <si>
    <t>Daniel Diaz</t>
  </si>
  <si>
    <t>math-102-04-09@student.local</t>
  </si>
  <si>
    <t>$2y$10$IZR8ZvDGWRfEPpnOzt6OwuJqOO.5B4wk7ugHz8G2JB/.c1lW5cfDO</t>
  </si>
  <si>
    <t>Charlotte Fernandez</t>
  </si>
  <si>
    <t>eng-103-05-09@student.local</t>
  </si>
  <si>
    <t>$2y$10$GmZZ9tzP1IlYpvuTrsc4Qe3EweRl15WwlNfLX7dcmolftZPd09GFm</t>
  </si>
  <si>
    <t>Henry Gonzales</t>
  </si>
  <si>
    <t>fil-005-01-10@student.local</t>
  </si>
  <si>
    <t>$2y$10$v1NyJlBa.S/qxVF8BHCS6.XoZmdj6i4n75XA.3MID/q9hEiIJ6eb6</t>
  </si>
  <si>
    <t>sci-101-02-10@student.local</t>
  </si>
  <si>
    <t>$2y$10$66WgB8yRwiXpdZgVnlP4dOdA8kYQ5n4VAJhJQcJRx3iRINkd7hwHu</t>
  </si>
  <si>
    <t>Elijah Domingo</t>
  </si>
  <si>
    <t>math-102-03-10@student.local</t>
  </si>
  <si>
    <t>$2y$10$Y168Vm7qDf.NmkifMmOxQuYkSHA6aghXLZpKrQJbpfzTTdQjAaWzS</t>
  </si>
  <si>
    <t>math-102-04-10@student.local</t>
  </si>
  <si>
    <t>$2y$10$w0WhE2wGB1n1HPXfJ5Mjou9VNiQAgcJ2xECoXjXghdqUMRSd1lA8m</t>
  </si>
  <si>
    <t>Isabella Bautista</t>
  </si>
  <si>
    <t>eng-103-05-10@student.local</t>
  </si>
  <si>
    <t>$2y$10$HlXi90owkjNqzXS5KOgTJ.npqAFPN/SAqHQC/v43egs0aNSmtWDGG</t>
  </si>
  <si>
    <t>fil-005-01-11@student.local</t>
  </si>
  <si>
    <t>$2y$10$llAPCrUJ.scxnK0TveDBW.akN34vRoXT5xLHZVRd40iUcVxByL9P2</t>
  </si>
  <si>
    <t>Ethan Ramos</t>
  </si>
  <si>
    <t>sci-101-02-11@student.local</t>
  </si>
  <si>
    <t>$2y$10$abVFfNLvS5OqMkytPiYzeucZqW7bWTIOv2IeYLcRep5hgi973P3ja</t>
  </si>
  <si>
    <t>math-102-03-11@student.local</t>
  </si>
  <si>
    <t>$2y$10$zsyEtlS1tdl7Hy/O7.3OP.60bQXu9VgFuOne9UoXI/cq.dPocL/gq</t>
  </si>
  <si>
    <t>Ethan Castro</t>
  </si>
  <si>
    <t>math-102-04-11@student.local</t>
  </si>
  <si>
    <t>$2y$10$B8MSlQ2Hf5w0EmxbBHnaP.Wla3eddd83shov/WbrNlbz.RckVTOQG</t>
  </si>
  <si>
    <t>eng-103-05-11@student.local</t>
  </si>
  <si>
    <t>$2y$10$IkQe9f86dYGYvX3aavUBB.e.SXzq2Z7SBvvalGo1KdteNEgWeT2Wa</t>
  </si>
  <si>
    <t>Amelia Morales</t>
  </si>
  <si>
    <t>fil-005-01-12@student.local</t>
  </si>
  <si>
    <t>$2y$10$Qz6E0MmGujdJOZota/reJu/KlUxF4S5I0afipZ08UDBynHZfHOo0O</t>
  </si>
  <si>
    <t>Mia Cruz</t>
  </si>
  <si>
    <t>sci-101-02-12@student.local</t>
  </si>
  <si>
    <t>$2y$10$D792ejIFuWNOgfEcMdEMgOv2Lu48kqIEIyogjVyja9HEiVYS9i8dq</t>
  </si>
  <si>
    <t>Charlotte Reyes</t>
  </si>
  <si>
    <t>math-102-03-12@student.local</t>
  </si>
  <si>
    <t>$2y$10$SeLO6HORr2vA3Og3KEq98uir40Gevp7tJafr.NXLUoti73xpx27rq</t>
  </si>
  <si>
    <t>Elijah Morales</t>
  </si>
  <si>
    <t>math-102-04-12@student.local</t>
  </si>
  <si>
    <t>$2y$10$Vb4EB6MiicJ9cuPoluZGu.FAc9LRAHykao4xO5sMytTdiDZ.oypnm</t>
  </si>
  <si>
    <t>Mason Castro</t>
  </si>
  <si>
    <t>eng-103-05-12@student.local</t>
  </si>
  <si>
    <t>$2y$10$p8/7nUEx2/JsQytJFTwwiuxGG/lcZcuoSbQD4faT/BtO7Rst8f0hy</t>
  </si>
  <si>
    <t>Ethan Cruz</t>
  </si>
  <si>
    <t>fil-005-01-13@student.local</t>
  </si>
  <si>
    <t>$2y$10$9Q0xI2QYWqOREIcVYUxF7eMTmv4EK5nT4wBF6.kDWLJihB8k8u6/K</t>
  </si>
  <si>
    <t>sci-101-02-13@student.local</t>
  </si>
  <si>
    <t>$2y$10$2iGs495TnvlUQfFW9weL7Oe5De0bUniarjY2YHSooM1KjvBO0oPMS</t>
  </si>
  <si>
    <t>Henry Mendoza</t>
  </si>
  <si>
    <t>math-102-03-13@student.local</t>
  </si>
  <si>
    <t>$2y$10$mJE4y7M4mVNZDH8kYPilKu3vmXkhtSsvXZUTi.5Ufu80zbFsdMCEe</t>
  </si>
  <si>
    <t>Olivia Salazar</t>
  </si>
  <si>
    <t>math-102-04-13@student.local</t>
  </si>
  <si>
    <t>$2y$10$IZg2C0voBPruKy4ASUEuqulzEjuRjW09O7KNrWhbpDoY7TUyxUzDq</t>
  </si>
  <si>
    <t>Olivia Garcia</t>
  </si>
  <si>
    <t>eng-103-05-13@student.local</t>
  </si>
  <si>
    <t>$2y$10$6AoaGA57VoBKmzavlnRy/uH5de9oq2lu.MDuAI6EGdkzndjb1GOiq</t>
  </si>
  <si>
    <t>Sophia Torres</t>
  </si>
  <si>
    <t>fil-005-01-14@student.local</t>
  </si>
  <si>
    <t>$2y$10$m7pJ5JEMjZKUwgsQZg60ZuWQJkVkfxHTVdg4d15xV9nrCO9TZrDh6</t>
  </si>
  <si>
    <t>Isabella Morales</t>
  </si>
  <si>
    <t>sci-101-02-14@student.local</t>
  </si>
  <si>
    <t>$2y$10$Auj/LbWTSJwQ.73xUc5ZS.Ofal5z0P8T48kvyPUIzLdk2F4K2g8Ca</t>
  </si>
  <si>
    <t>Benjamin Reyes</t>
  </si>
  <si>
    <t>math-102-03-14@student.local</t>
  </si>
  <si>
    <t>$2y$10$nmvfV31akerWwRIlXmdc7.efNekkoG4lVrfesoIeg/anhYLPoE7wG</t>
  </si>
  <si>
    <t>math-102-04-14@student.local</t>
  </si>
  <si>
    <t>$2y$10$TgyyxhKoSS/QpD4VX8BLZuyCuSC9EheSeVn/.9wt/Z1mYulmMCRKO</t>
  </si>
  <si>
    <t>Noah Rivera</t>
  </si>
  <si>
    <t>eng-103-05-14@student.local</t>
  </si>
  <si>
    <t>$2y$10$qHCHEToknU8rtsIsqlgcteNgWqskZKMY6BlXBd1.yDanvflG34xZa</t>
  </si>
  <si>
    <t>Amelia Mendoza</t>
  </si>
  <si>
    <t>fil-005-01-15@student.local</t>
  </si>
  <si>
    <t>$2y$10$tdNnX6G/EhdQz4Bc7tBBduoavDfy1DUB.E//qyIWVt4YdUMA9fErm</t>
  </si>
  <si>
    <t>Isabella Ramos</t>
  </si>
  <si>
    <t>sci-101-02-15@student.local</t>
  </si>
  <si>
    <t>$2y$10$dPdg9Pm3.xyMxqfgMuAlae487BScAb8htRymjFz35GM1VDCdvs4vO</t>
  </si>
  <si>
    <t>Amelia Reyes</t>
  </si>
  <si>
    <t>math-102-03-15@student.local</t>
  </si>
  <si>
    <t>$2y$10$rDUxd15bmGsZDb8w8WcdleNy2M2R/hhtGwrGDBqwbkU/fNDX.ZWcK</t>
  </si>
  <si>
    <t>Alexander Ramos</t>
  </si>
  <si>
    <t>math-102-04-15@student.local</t>
  </si>
  <si>
    <t>$2y$10$DUPTVahWHcdi5uxFp4IWfu/MLFHp6ZWm.eV23XGmertPW76Me1d.i</t>
  </si>
  <si>
    <t>Amelia Garcia</t>
  </si>
  <si>
    <t>eng-103-05-15@student.local</t>
  </si>
  <si>
    <t>$2y$10$0ESQZGaCiQcCvhvHcGVKhufsiY4CseFUu7VlqpBgcJOn4eX0/DyH.</t>
  </si>
  <si>
    <t>$2y$10$sT06QJVGF59jbzMYDrl6nOw6lSKawNWH6Ebpe8l1E9tcOfQTorJ4S</t>
  </si>
  <si>
    <t>$2y$10$.mXZaKhcnZzDjTjfAT4kQO5e0Edc9XFL6zgRZFkcJs3i/YdXL8BQa</t>
  </si>
  <si>
    <t>fil-005-01-01</t>
  </si>
  <si>
    <t>$2y$10$FuVm5PQL82XOa/1h4Ypu5eZtcDIo6691rZU7sytfgsO6fu3YeGp4S</t>
  </si>
  <si>
    <t>sci-101-02-01</t>
  </si>
  <si>
    <t>$2y$10$w6zALuO55bhgEaPEq7/c4OGH82J2SakjUpP.FRBchz/njs3RTXax.</t>
  </si>
  <si>
    <t>math-102-03-01</t>
  </si>
  <si>
    <t>$2y$10$MXuMRec6Oz9H1T06bKdt7ejE/69GoLnloYpYC0klNx0sNINB86WT.</t>
  </si>
  <si>
    <t>math-102-04-01</t>
  </si>
  <si>
    <t>$2y$10$pr4rtsxGb/V7yb51p8jY.eJ0wHZ3Xo6cUU11MzqFrsSBjXBdtn9ee</t>
  </si>
  <si>
    <t>eng-103-05-01</t>
  </si>
  <si>
    <t>$2y$10$LCzv9Go.U4.XIDIPhtjh8OWPQYDj4Q6s9NXj6KL/z.bKIIt4hrWYm</t>
  </si>
  <si>
    <t>fil-005-01-02</t>
  </si>
  <si>
    <t>$2y$10$k02AA6OM9g/3yMTfxnoi5u6RM6NuoWnVQiD3OGP72lIC7wp9hUWhK</t>
  </si>
  <si>
    <t>sci-101-02-02</t>
  </si>
  <si>
    <t>$2y$10$mDTujNFaHgOuPhmNSKH2fegS5YlHSerwT4.rLRW9zNr0rf/MrKoWi</t>
  </si>
  <si>
    <t>math-102-03-02</t>
  </si>
  <si>
    <t>$2y$10$lzl6ZoCT40mqLdQfvdmzvu6cg0L1d290VvAKsZzOD5HeXgMjCzx8G</t>
  </si>
  <si>
    <t>math-102-04-02</t>
  </si>
  <si>
    <t>$2y$10$7saTvwFa5jUm53Ze331g2Od0CXjvPBSFL3SLY5otKbEAvsC4JLZ/O</t>
  </si>
  <si>
    <t>eng-103-05-02</t>
  </si>
  <si>
    <t>$2y$10$OCDNVjC26tlU1C8BZBsYweMDcM2VXABpFXDC3w60GJ8VjD2AonASS</t>
  </si>
  <si>
    <t>fil-005-01-03</t>
  </si>
  <si>
    <t>$2y$10$YBwk5hyYAwqHbWA2/n9z.OevVH3Q7U3lpkxmMu0OOgL7xoJHCG4L.</t>
  </si>
  <si>
    <t>sci-101-02-03</t>
  </si>
  <si>
    <t>$2y$10$1WqPEfkYTAS3ao3Tvlswk.4aADqNx1reVlZR5KJvHiF9x4igmChui</t>
  </si>
  <si>
    <t>math-102-03-03</t>
  </si>
  <si>
    <t>$2y$10$OWlMb/vsYpRStmi0iPv.ueJ20oOGBMZLzeLIuXwRF5nEyD0uCYZd6</t>
  </si>
  <si>
    <t>math-102-04-03</t>
  </si>
  <si>
    <t>$2y$10$IHKOI2uqUbyo79BrtjPWJOuTHWvqO3a9hxxE9gqWF0H84Xz9adwnm</t>
  </si>
  <si>
    <t>eng-103-05-03</t>
  </si>
  <si>
    <t>$2y$10$NZk57vORSL8ZkZva0./LmuZmQD5pxUg2UkQTvCiG/v4bTykos3sym</t>
  </si>
  <si>
    <t>fil-005-01-04</t>
  </si>
  <si>
    <t>$2y$10$PCryj0iVarUGnAulw86fQOnYDBVRv3tkgs3LWl..L10AIYes44cfK</t>
  </si>
  <si>
    <t>sci-101-02-04</t>
  </si>
  <si>
    <t>$2y$10$ho5S2Cds/WVveSen3jNX/ebIhkeyT.wi1eP6UsEQu4GG7jS7BSj6C</t>
  </si>
  <si>
    <t>math-102-03-04</t>
  </si>
  <si>
    <t>$2y$10$bJf51Q1hmvyuG/fBkLDC0.dx1qkNDhoyAQqezsTmpOXFciZxNUCJ6</t>
  </si>
  <si>
    <t>math-102-04-04</t>
  </si>
  <si>
    <t>$2y$10$GMu23PcgG3eMY61tay4L2uj5VYfj9y6Y.Fl3JEPSjeAba6bJP15vy</t>
  </si>
  <si>
    <t>eng-103-05-04</t>
  </si>
  <si>
    <t>$2y$10$QHUn6E6BR7BoHhlbOkFfQ.7RptT5CbPRmiv2gjLytc3vJ0ckvUUWu</t>
  </si>
  <si>
    <t>fil-005-01-05</t>
  </si>
  <si>
    <t>$2y$10$hg2QFm.cGzOzKx0HoGmy.uTnsLU5MUmPdKqQyd8JFX1leIYZ9Q4fO</t>
  </si>
  <si>
    <t>sci-101-02-05</t>
  </si>
  <si>
    <t>$2y$10$dIUb.PXQ1VllojTqXasj2.BkTIQvtMfrmSLeUbVRgiG9teYcJjXEW</t>
  </si>
  <si>
    <t>math-102-03-05</t>
  </si>
  <si>
    <t>$2y$10$0qkvTkzPph3wSgbFVR9MAuwCK6wahOBzjV3FhHmqbE/aOeAIYYrNC</t>
  </si>
  <si>
    <t>math-102-04-05</t>
  </si>
  <si>
    <t>$2y$10$FhbRzMKCjFe8Q1vljpxnZeC.ImsvWNhOjGZzSTVQg.B/t8WCLJKQe</t>
  </si>
  <si>
    <t>eng-103-05-05</t>
  </si>
  <si>
    <t>$2y$10$RB0xmokGSawlLhhft.snY.mn.TgLJyvSayYcuV0MC2R9RDaYUMrgS</t>
  </si>
  <si>
    <t>fil-005-01-06</t>
  </si>
  <si>
    <t>$2y$10$E3xIUczXCuZP2aWmC/0Riu8/nq2DYGcuNnMmEr6UJBZ43qjiFs7Ey</t>
  </si>
  <si>
    <t>sci-101-02-06</t>
  </si>
  <si>
    <t>$2y$10$IBAJ79.e4dS2nx5am7Awqe7N.pKRod.pqlvYCuEHE8Jo.T8pWwioe</t>
  </si>
  <si>
    <t>math-102-03-06</t>
  </si>
  <si>
    <t>$2y$10$UZ3NGW0QwvqdKXEl8K8UeumVZe84QrZtYOPlXqdKWG/xQ.pyYmGji</t>
  </si>
  <si>
    <t>math-102-04-06</t>
  </si>
  <si>
    <t>$2y$10$w8UZAKG8aUZ7YL1nOiuN5eHbjbT00zUjiJ5tdbt1leQLZlR8nj/Xu</t>
  </si>
  <si>
    <t>eng-103-05-06</t>
  </si>
  <si>
    <t>$2y$10$YSyaAn/L2.OvVGb2CH.iGuaVlQxEHbL2InigpPMBF8O62Y6oznN7m</t>
  </si>
  <si>
    <t>fil-005-01-07</t>
  </si>
  <si>
    <t>$2y$10$A9ZmTgWVNf5Aa8ULGDfovuqJFybYTTWgTvx5hTAQibpYYl1YHWmwi</t>
  </si>
  <si>
    <t>sci-101-02-07</t>
  </si>
  <si>
    <t>$2y$10$uV..zt/U/6iuzW3.sqb9HObKxIS.AzeQjeG2XJZUIvEhzUAd3eULC</t>
  </si>
  <si>
    <t>math-102-03-07</t>
  </si>
  <si>
    <t>$2y$10$iawdwSFm5Y5z4D5.e9dj7.SV4Bp.TGg85l1Gc1Ki/Iuq4/UXw3IGi</t>
  </si>
  <si>
    <t>math-102-04-07</t>
  </si>
  <si>
    <t>$2y$10$KxF4.ObgIlBGgDE7rdV8Ke1YsU4MoDCeXKz6SctAc9In/TE/cDv8y</t>
  </si>
  <si>
    <t>eng-103-05-07</t>
  </si>
  <si>
    <t>$2y$10$/tA6cLGdxcJsBstzcyZnFu767DdeCPY7DIpmDIHfXvz.EyEoKOiMu</t>
  </si>
  <si>
    <t>fil-005-01-08</t>
  </si>
  <si>
    <t>$2y$10$mX1At5rriXtnIwnjbazMauqAYiE9Oi.yI.uOUO9pj5YhgWYwleY2C</t>
  </si>
  <si>
    <t>sci-101-02-08</t>
  </si>
  <si>
    <t>$2y$10$pPSx6dsoUAQHR.qGZGv9uOzfYBhpJJJl2ozvOCowNLv/HWzedtiXq</t>
  </si>
  <si>
    <t>math-102-03-08</t>
  </si>
  <si>
    <t>$2y$10$9rsc3bFZCtf3RBZLFQd7ge68rsePBgdnT7MEmuw5wUUdM9bihFSs.</t>
  </si>
  <si>
    <t>math-102-04-08</t>
  </si>
  <si>
    <t>$2y$10$tZzf5Chi/CjZpOvpLrqM7e4fu5kW1ugLUPA56ojcvOpe/q9TFwWTe</t>
  </si>
  <si>
    <t>eng-103-05-08</t>
  </si>
  <si>
    <t>$2y$10$sf7qEE8I9HXuGe5hg/iQt.n4EL/h0CoiGsQN/B/1faTeafvjvcB1a</t>
  </si>
  <si>
    <t>fil-005-01-09</t>
  </si>
  <si>
    <t>$2y$10$uJRfL.DFWjF0JK1UPseSyOQgMYXSx4lqXrD5L2/yHeAlAs83Fp0Gy</t>
  </si>
  <si>
    <t>sci-101-02-09</t>
  </si>
  <si>
    <t>$2y$10$R1aBRmA97oryrIT54Uo51e4HUPrVVyOu2EtrugbbL3IbJLbqshuva</t>
  </si>
  <si>
    <t>math-102-03-09</t>
  </si>
  <si>
    <t>$2y$10$0Y66MKz1JECP2..gehMaL.dKGOlgccYfi0hii4OudQ50jkXlAOn6.</t>
  </si>
  <si>
    <t>math-102-04-09</t>
  </si>
  <si>
    <t>$2y$10$b9zru8Dv2Apd8smInu2b4OpnP4Qo1nuVQ5yN8wbjdD5sxObaIX.QS</t>
  </si>
  <si>
    <t>eng-103-05-09</t>
  </si>
  <si>
    <t>$2y$10$K4bnki2tNxz0jnJJE7H/g.ZFuVGAtK7PvW2fy3NkWMnyzCzg51W9a</t>
  </si>
  <si>
    <t>fil-005-01-10</t>
  </si>
  <si>
    <t>$2y$10$VcSO8OJX42om1X/2CuBmA.6tdAdgC8KTaX9uNttzCiifxR/s1UJ2S</t>
  </si>
  <si>
    <t>sci-101-02-10</t>
  </si>
  <si>
    <t>$2y$10$OnjzIYfzFAxtS/5VIQzjOOPZV4rBiM9R3qU.y2a722pfXpLqHkvqy</t>
  </si>
  <si>
    <t>math-102-03-10</t>
  </si>
  <si>
    <t>$2y$10$GfpIsswRQHlPPbKTwUqHWOozDEhNFobQQDnsS6V1dH8UOi/y2gV4q</t>
  </si>
  <si>
    <t>math-102-04-10</t>
  </si>
  <si>
    <t>$2y$10$nQYA8i9/ZPFPolmyeIsluO3c19kex/GOX80sMgVeS3KKkAxDqlTsi</t>
  </si>
  <si>
    <t>eng-103-05-10</t>
  </si>
  <si>
    <t>$2y$10$sWAwlOuiQPwNAl8qhnbv0emhMvTbrkNInV/41LtHZo/eqOXO0mLNy</t>
  </si>
  <si>
    <t>fil-005-01-11</t>
  </si>
  <si>
    <t>$2y$10$3z9tl0.yr8gTM20IkbOe6OYI8aqyG7TnCnxlyLP.9iaOz8LWWRpi6</t>
  </si>
  <si>
    <t>sci-101-02-11</t>
  </si>
  <si>
    <t>$2y$10$a.3mdWpv.b279YOZkeLVR.gyakRuoYXjL60QtS/ZZXQe9RaI6Nl8S</t>
  </si>
  <si>
    <t>math-102-03-11</t>
  </si>
  <si>
    <t>$2y$10$Oumr9XkKH.cuFj2Ucgrf8.G2yWGy3VILih/vBAjPxhS5DsKGDwFba</t>
  </si>
  <si>
    <t>math-102-04-11</t>
  </si>
  <si>
    <t>$2y$10$qYmIPgAXHbZAnHhE85sQBeginL5mKPJO1yE/Fvjhzb5hG2I8/i90O</t>
  </si>
  <si>
    <t>eng-103-05-11</t>
  </si>
  <si>
    <t>$2y$10$MwzPOm67c5M15Fr6tMCEN.yLejE.aXEqoaY4Gd3Kr2TxNkApXhBa2</t>
  </si>
  <si>
    <t>fil-005-01-12</t>
  </si>
  <si>
    <t>$2y$10$Xpr5v0/k4Y8PtRfMbsao/.5JaYSCtij0b2o5rEraYKEF6Y0eelmgC</t>
  </si>
  <si>
    <t>sci-101-02-12</t>
  </si>
  <si>
    <t>$2y$10$KLBpgACMEb2pfxDtwNbLv.ojdCDStVZG.6XEFeqYY3BZUvqfyCLU.</t>
  </si>
  <si>
    <t>math-102-03-12</t>
  </si>
  <si>
    <t>$2y$10$YcC7mQWPmVnb20wFyoLiV..f77.vQz2910hCOIfYbouAG...GXT2i</t>
  </si>
  <si>
    <t>math-102-04-12</t>
  </si>
  <si>
    <t>$2y$10$apj3Etkhh7HntXd/GmfB2ezUKVySb1JuV85wekWf37ohYkDH82nOG</t>
  </si>
  <si>
    <t>eng-103-05-12</t>
  </si>
  <si>
    <t>$2y$10$vvUT.sU7sJtYzv4z1j08bOPzfsEObvNfP5YgWcnaBcwN652o9ZXHK</t>
  </si>
  <si>
    <t>fil-005-01-13</t>
  </si>
  <si>
    <t>$2y$10$AaKTfpVbCuajWE2qm/ri2.v1H5zKMLbQIGFdpRRq1ySIoVPyLfAWq</t>
  </si>
  <si>
    <t>sci-101-02-13</t>
  </si>
  <si>
    <t>$2y$10$z8jo0F8oGRc57cD9SixkmuYC7gRYozU2l8UxfFE1j6XpkDApChg8a</t>
  </si>
  <si>
    <t>math-102-03-13</t>
  </si>
  <si>
    <t>$2y$10$81rGWB59TCIJFLdE1IOyKuldzx3eAwDYbzBJZSzHoAEU7xeOAnb3e</t>
  </si>
  <si>
    <t>math-102-04-13</t>
  </si>
  <si>
    <t>$2y$10$SKrj1GQXwHdFOX0gfVKOfuRQiSaO8H346AL/BxfCbAGUx4BXpeHhm</t>
  </si>
  <si>
    <t>eng-103-05-13</t>
  </si>
  <si>
    <t>$2y$10$iKLBkFOuPnm/lbUaYTgn.eMq6NyLffp./khkTG7ubYkJice6tq/dm</t>
  </si>
  <si>
    <t>fil-005-01-14</t>
  </si>
  <si>
    <t>$2y$10$7AHXSVYGmlrx90vXoWuDbuc4b8pKCyvR0.m3G9wAVRhi58HrGYJla</t>
  </si>
  <si>
    <t>sci-101-02-14</t>
  </si>
  <si>
    <t>$2y$10$X7wD8tOnIC14J7Q/Buqi5uJAtP.C6Srht9Eqe1HxiW9ej03kP/976</t>
  </si>
  <si>
    <t>math-102-03-14</t>
  </si>
  <si>
    <t>$2y$10$0M.me6rUB3LOq3ocaVMXReUdF3WObGWPrE4NKntWymiAfYN3zAMD.</t>
  </si>
  <si>
    <t>math-102-04-14</t>
  </si>
  <si>
    <t>$2y$10$AXZBq6/UPpydkZSaqQFWEeP7RK3h2clPHUuvs9rYEkFSuoPwh0kl2</t>
  </si>
  <si>
    <t>eng-103-05-14</t>
  </si>
  <si>
    <t>$2y$10$jlnG2pwro375N.kFaxCeyuz3B5SLan1B7O.5GlHsEuR/I4gbLe1M2</t>
  </si>
  <si>
    <t>fil-005-01-15</t>
  </si>
  <si>
    <t>$2y$10$SLWYpyt90MdJlplqFZ2v2.IueA4IPkV5g1270CK2Kak7/evQYf4ni</t>
  </si>
  <si>
    <t>sci-101-02-15</t>
  </si>
  <si>
    <t>$2y$10$MX4Qr3uyW4WvefQR8uWSe.nbDWuVy1tDLKYAUzMZiOVy58Ny6ipim</t>
  </si>
  <si>
    <t>math-102-03-15</t>
  </si>
  <si>
    <t>$2y$10$sBEzH1Lw3.EBIF.0sFm/Z.qEEmb9BVhjfDo7tp5IEkirQXv.hIE7G</t>
  </si>
  <si>
    <t>math-102-04-15</t>
  </si>
  <si>
    <t>$2y$10$pbD7fTRN5hxJnvtVPga1NeoUkg1hY6iyfFIVTCdXhH21D..X4HKUu</t>
  </si>
  <si>
    <t>eng-103-05-15</t>
  </si>
  <si>
    <t>$2y$10$m9l6a3yfCelbcr6Da1HI6.eqevQLcVRtbSbz.tqaGFo6Lrea54/KW</t>
  </si>
  <si>
    <t>JAPHET DOROIN</t>
  </si>
  <si>
    <t>$2y$10$Ti8L3GKhrpzsrJiUo5VI.OEgb6BeHn8WQEdf9o.Olum96c7AqgNW2</t>
  </si>
  <si>
    <t>Row Labels</t>
  </si>
  <si>
    <t>Grand Total</t>
  </si>
  <si>
    <t>Count of gender</t>
  </si>
  <si>
    <t>Count of student_id</t>
  </si>
  <si>
    <t>Count of status</t>
  </si>
  <si>
    <t>PRESENT</t>
  </si>
  <si>
    <t>ABSENT</t>
  </si>
  <si>
    <t>LATE</t>
  </si>
  <si>
    <t>EXCUSED</t>
  </si>
  <si>
    <t>Column Labels</t>
  </si>
  <si>
    <t xml:space="preserve"> </t>
  </si>
  <si>
    <t>Details for Count of status - status: present</t>
  </si>
  <si>
    <t>Count of grade_level</t>
  </si>
  <si>
    <t>Count of remarks</t>
  </si>
  <si>
    <t>FUNRUN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</si>
</sst>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4" x14ac:knownFonts="1">
    <font>
      <sz val="11"/>
      <color theme="1"/>
      <name val="Calibri"/>
      <family val="2"/>
      <scheme val="minor"/>
    </font>
    <font>
      <b/>
      <sz val="11"/>
      <color theme="1"/>
      <name val="Calibri"/>
      <family val="2"/>
      <scheme val="minor"/>
    </font>
    <font>
      <sz val="11"/>
      <color theme="2"/>
      <name val="Calibri"/>
      <family val="2"/>
      <scheme val="minor"/>
    </font>
    <font>
      <b/>
      <sz val="48"/>
      <color rgb="FF00B050"/>
      <name val="Calibri"/>
      <family val="2"/>
      <scheme val="minor"/>
    </font>
    <font>
      <b/>
      <sz val="48"/>
      <color rgb="FFC00000"/>
      <name val="Calibri"/>
      <family val="2"/>
      <scheme val="minor"/>
    </font>
    <font>
      <b/>
      <sz val="48"/>
      <color theme="8"/>
      <name val="Calibri"/>
      <family val="2"/>
      <scheme val="minor"/>
    </font>
    <font>
      <b/>
      <sz val="48"/>
      <color theme="5"/>
      <name val="Calibri"/>
      <family val="2"/>
      <scheme val="minor"/>
    </font>
    <font>
      <sz val="11"/>
      <color rgb="FF5E57F3"/>
      <name val="Calibri"/>
      <family val="2"/>
      <scheme val="minor"/>
    </font>
    <font>
      <b/>
      <i/>
      <sz val="20"/>
      <color theme="1" tint="0.14999847407452621"/>
      <name val="Calibri"/>
      <family val="2"/>
      <scheme val="minor"/>
    </font>
    <font>
      <b/>
      <sz val="11"/>
      <color theme="1" tint="0.14999847407452621"/>
      <name val="Calibri"/>
      <family val="2"/>
      <scheme val="minor"/>
    </font>
    <font>
      <sz val="11"/>
      <color theme="1" tint="0.14999847407452621"/>
      <name val="Calibri"/>
      <family val="2"/>
      <scheme val="minor"/>
    </font>
    <font>
      <sz val="72"/>
      <color rgb="FF00B050"/>
      <name val="Calibri"/>
      <family val="2"/>
      <scheme val="minor"/>
    </font>
    <font>
      <sz val="72"/>
      <color rgb="FFC00000"/>
      <name val="Calibri"/>
      <family val="2"/>
      <scheme val="minor"/>
    </font>
    <font>
      <sz val="48"/>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6"/>
        <bgColor indexed="64"/>
      </patternFill>
    </fill>
    <fill>
      <patternFill patternType="solid">
        <fgColor rgb="FFA560EA"/>
        <bgColor indexed="64"/>
      </patternFill>
    </fill>
    <fill>
      <patternFill patternType="solid">
        <fgColor rgb="FF5E57F3"/>
        <bgColor indexed="64"/>
      </patternFill>
    </fill>
    <fill>
      <patternFill patternType="solid">
        <fgColor theme="0" tint="-0.34998626667073579"/>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4">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xf numFmtId="0" fontId="2" fillId="2" borderId="0" xfId="0" applyFont="1" applyFill="1"/>
    <xf numFmtId="0" fontId="2" fillId="3"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2" fillId="4" borderId="0" xfId="0" applyFont="1" applyFill="1"/>
    <xf numFmtId="0" fontId="2" fillId="5" borderId="0" xfId="0" applyFont="1" applyFill="1"/>
    <xf numFmtId="0" fontId="3" fillId="2" borderId="0" xfId="0" applyFont="1" applyFill="1"/>
    <xf numFmtId="0" fontId="4" fillId="2" borderId="0" xfId="0" applyFont="1" applyFill="1"/>
    <xf numFmtId="0" fontId="6" fillId="2" borderId="0" xfId="0" applyFont="1" applyFill="1"/>
    <xf numFmtId="0" fontId="5" fillId="2" borderId="0" xfId="0" applyFont="1" applyFill="1"/>
    <xf numFmtId="0" fontId="7" fillId="5" borderId="0" xfId="0" applyFont="1" applyFill="1"/>
    <xf numFmtId="0" fontId="8" fillId="3" borderId="0" xfId="0" applyFont="1" applyFill="1"/>
    <xf numFmtId="0" fontId="9" fillId="3" borderId="0" xfId="0" applyFont="1" applyFill="1"/>
    <xf numFmtId="0" fontId="10" fillId="3" borderId="0" xfId="0" applyFont="1" applyFill="1"/>
    <xf numFmtId="0" fontId="1" fillId="0" borderId="0" xfId="0" applyFont="1"/>
    <xf numFmtId="0" fontId="0" fillId="6" borderId="0" xfId="0" applyFill="1"/>
    <xf numFmtId="0" fontId="2" fillId="6" borderId="0" xfId="0" applyFont="1" applyFill="1"/>
    <xf numFmtId="0" fontId="11" fillId="2" borderId="0" xfId="0" applyFont="1" applyFill="1"/>
    <xf numFmtId="0" fontId="12" fillId="2" borderId="0" xfId="0" applyFont="1" applyFill="1"/>
    <xf numFmtId="0" fontId="13" fillId="2" borderId="0" xfId="0" applyFont="1" applyFill="1"/>
  </cellXfs>
  <cellStyles count="1">
    <cellStyle name="Normal" xfId="0" builtinId="0"/>
  </cellStyles>
  <dxfs count="38">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19" formatCode="m/d/yyyy"/>
    </dxf>
    <dxf>
      <numFmt numFmtId="27" formatCode="m/d/yyyy\ h:mm"/>
    </dxf>
    <dxf>
      <numFmt numFmtId="0" formatCode="General"/>
    </dxf>
    <dxf>
      <numFmt numFmtId="19" formatCode="m/d/yyyy"/>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164" formatCode="[$-F400]h:mm:ss\ AM/PM"/>
    </dxf>
    <dxf>
      <numFmt numFmtId="164" formatCode="[$-F400]h:mm:ss\ AM/PM"/>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s>
  <tableStyles count="0" defaultTableStyle="TableStyleMedium2" defaultPivotStyle="PivotStyleLight16"/>
  <colors>
    <mruColors>
      <color rgb="FFA560EA"/>
      <color rgb="FF5E57F3"/>
      <color rgb="FF5064FA"/>
      <color rgb="FFA14D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3.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[teacher.xlsx]Sheet7!PivotTable8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ENGLISH</c:v>
                </c:pt>
              </c:strCache>
            </c:strRef>
          </c:tx>
          <c:spPr>
            <a:solidFill>
              <a:schemeClr val="accent1"/>
            </a:solidFill>
            <a:ln>
              <a:noFill/>
            </a:ln>
            <a:effectLst/>
          </c:spPr>
          <c:invertIfNegative val="0"/>
          <c:cat>
            <c:strRef>
              <c:f>Sheet7!$A$5:$A$9</c:f>
              <c:strCache>
                <c:ptCount val="4"/>
                <c:pt idx="0">
                  <c:v>GRADE 10</c:v>
                </c:pt>
                <c:pt idx="1">
                  <c:v>GRADE 7</c:v>
                </c:pt>
                <c:pt idx="2">
                  <c:v>GRADE 8</c:v>
                </c:pt>
                <c:pt idx="3">
                  <c:v>GRADE 9</c:v>
                </c:pt>
              </c:strCache>
            </c:strRef>
          </c:cat>
          <c:val>
            <c:numRef>
              <c:f>Sheet7!$B$5:$B$9</c:f>
              <c:numCache>
                <c:formatCode>General</c:formatCode>
                <c:ptCount val="4"/>
                <c:pt idx="1">
                  <c:v>1</c:v>
                </c:pt>
              </c:numCache>
            </c:numRef>
          </c:val>
          <c:extLst>
            <c:ext xmlns:c16="http://schemas.microsoft.com/office/drawing/2014/chart" uri="{C3380CC4-5D6E-409C-BE32-E72D297353CC}">
              <c16:uniqueId val="{00000000-E807-4314-85E5-2DE5471F2004}"/>
            </c:ext>
          </c:extLst>
        </c:ser>
        <c:ser>
          <c:idx val="1"/>
          <c:order val="1"/>
          <c:tx>
            <c:strRef>
              <c:f>Sheet7!$C$3:$C$4</c:f>
              <c:strCache>
                <c:ptCount val="1"/>
                <c:pt idx="0">
                  <c:v>FILIPINO</c:v>
                </c:pt>
              </c:strCache>
            </c:strRef>
          </c:tx>
          <c:spPr>
            <a:solidFill>
              <a:schemeClr val="accent2"/>
            </a:solidFill>
            <a:ln>
              <a:noFill/>
            </a:ln>
            <a:effectLst/>
          </c:spPr>
          <c:invertIfNegative val="0"/>
          <c:cat>
            <c:strRef>
              <c:f>Sheet7!$A$5:$A$9</c:f>
              <c:strCache>
                <c:ptCount val="4"/>
                <c:pt idx="0">
                  <c:v>GRADE 10</c:v>
                </c:pt>
                <c:pt idx="1">
                  <c:v>GRADE 7</c:v>
                </c:pt>
                <c:pt idx="2">
                  <c:v>GRADE 8</c:v>
                </c:pt>
                <c:pt idx="3">
                  <c:v>GRADE 9</c:v>
                </c:pt>
              </c:strCache>
            </c:strRef>
          </c:cat>
          <c:val>
            <c:numRef>
              <c:f>Sheet7!$C$5:$C$9</c:f>
              <c:numCache>
                <c:formatCode>General</c:formatCode>
                <c:ptCount val="4"/>
                <c:pt idx="0">
                  <c:v>1</c:v>
                </c:pt>
              </c:numCache>
            </c:numRef>
          </c:val>
          <c:extLst>
            <c:ext xmlns:c16="http://schemas.microsoft.com/office/drawing/2014/chart" uri="{C3380CC4-5D6E-409C-BE32-E72D297353CC}">
              <c16:uniqueId val="{0000001A-E807-4314-85E5-2DE5471F2004}"/>
            </c:ext>
          </c:extLst>
        </c:ser>
        <c:ser>
          <c:idx val="2"/>
          <c:order val="2"/>
          <c:tx>
            <c:strRef>
              <c:f>Sheet7!$D$3:$D$4</c:f>
              <c:strCache>
                <c:ptCount val="1"/>
                <c:pt idx="0">
                  <c:v>MATHEMATICS</c:v>
                </c:pt>
              </c:strCache>
            </c:strRef>
          </c:tx>
          <c:spPr>
            <a:solidFill>
              <a:schemeClr val="accent3"/>
            </a:solidFill>
            <a:ln>
              <a:noFill/>
            </a:ln>
            <a:effectLst/>
          </c:spPr>
          <c:invertIfNegative val="0"/>
          <c:cat>
            <c:strRef>
              <c:f>Sheet7!$A$5:$A$9</c:f>
              <c:strCache>
                <c:ptCount val="4"/>
                <c:pt idx="0">
                  <c:v>GRADE 10</c:v>
                </c:pt>
                <c:pt idx="1">
                  <c:v>GRADE 7</c:v>
                </c:pt>
                <c:pt idx="2">
                  <c:v>GRADE 8</c:v>
                </c:pt>
                <c:pt idx="3">
                  <c:v>GRADE 9</c:v>
                </c:pt>
              </c:strCache>
            </c:strRef>
          </c:cat>
          <c:val>
            <c:numRef>
              <c:f>Sheet7!$D$5:$D$9</c:f>
              <c:numCache>
                <c:formatCode>General</c:formatCode>
                <c:ptCount val="4"/>
                <c:pt idx="2">
                  <c:v>2</c:v>
                </c:pt>
              </c:numCache>
            </c:numRef>
          </c:val>
          <c:extLst>
            <c:ext xmlns:c16="http://schemas.microsoft.com/office/drawing/2014/chart" uri="{C3380CC4-5D6E-409C-BE32-E72D297353CC}">
              <c16:uniqueId val="{0000001B-E807-4314-85E5-2DE5471F2004}"/>
            </c:ext>
          </c:extLst>
        </c:ser>
        <c:ser>
          <c:idx val="3"/>
          <c:order val="3"/>
          <c:tx>
            <c:strRef>
              <c:f>Sheet7!$E$3:$E$4</c:f>
              <c:strCache>
                <c:ptCount val="1"/>
                <c:pt idx="0">
                  <c:v>SCIENCE</c:v>
                </c:pt>
              </c:strCache>
            </c:strRef>
          </c:tx>
          <c:spPr>
            <a:solidFill>
              <a:schemeClr val="accent4"/>
            </a:solidFill>
            <a:ln>
              <a:noFill/>
            </a:ln>
            <a:effectLst/>
          </c:spPr>
          <c:invertIfNegative val="0"/>
          <c:cat>
            <c:strRef>
              <c:f>Sheet7!$A$5:$A$9</c:f>
              <c:strCache>
                <c:ptCount val="4"/>
                <c:pt idx="0">
                  <c:v>GRADE 10</c:v>
                </c:pt>
                <c:pt idx="1">
                  <c:v>GRADE 7</c:v>
                </c:pt>
                <c:pt idx="2">
                  <c:v>GRADE 8</c:v>
                </c:pt>
                <c:pt idx="3">
                  <c:v>GRADE 9</c:v>
                </c:pt>
              </c:strCache>
            </c:strRef>
          </c:cat>
          <c:val>
            <c:numRef>
              <c:f>Sheet7!$E$5:$E$9</c:f>
              <c:numCache>
                <c:formatCode>General</c:formatCode>
                <c:ptCount val="4"/>
                <c:pt idx="3">
                  <c:v>1</c:v>
                </c:pt>
              </c:numCache>
            </c:numRef>
          </c:val>
          <c:extLst>
            <c:ext xmlns:c16="http://schemas.microsoft.com/office/drawing/2014/chart" uri="{C3380CC4-5D6E-409C-BE32-E72D297353CC}">
              <c16:uniqueId val="{0000001C-E807-4314-85E5-2DE5471F2004}"/>
            </c:ext>
          </c:extLst>
        </c:ser>
        <c:dLbls>
          <c:showLegendKey val="0"/>
          <c:showVal val="0"/>
          <c:showCatName val="0"/>
          <c:showSerName val="0"/>
          <c:showPercent val="0"/>
          <c:showBubbleSize val="0"/>
        </c:dLbls>
        <c:gapWidth val="150"/>
        <c:overlap val="100"/>
        <c:axId val="1201537775"/>
        <c:axId val="864195743"/>
      </c:barChart>
      <c:catAx>
        <c:axId val="12015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95743"/>
        <c:crosses val="autoZero"/>
        <c:auto val="1"/>
        <c:lblAlgn val="ctr"/>
        <c:lblOffset val="100"/>
        <c:noMultiLvlLbl val="0"/>
      </c:catAx>
      <c:valAx>
        <c:axId val="86419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3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Sheet4!$A$4:$A$6</c:f>
              <c:strCache>
                <c:ptCount val="2"/>
                <c:pt idx="0">
                  <c:v>Female</c:v>
                </c:pt>
                <c:pt idx="1">
                  <c:v>Male</c:v>
                </c:pt>
              </c:strCache>
            </c:strRef>
          </c:cat>
          <c:val>
            <c:numRef>
              <c:f>Sheet4!$B$4:$B$6</c:f>
              <c:numCache>
                <c:formatCode>General</c:formatCode>
                <c:ptCount val="2"/>
                <c:pt idx="0">
                  <c:v>35</c:v>
                </c:pt>
                <c:pt idx="1">
                  <c:v>43</c:v>
                </c:pt>
              </c:numCache>
            </c:numRef>
          </c:val>
          <c:extLst>
            <c:ext xmlns:c16="http://schemas.microsoft.com/office/drawing/2014/chart" uri="{C3380CC4-5D6E-409C-BE32-E72D297353CC}">
              <c16:uniqueId val="{00000002-6648-45C9-B85E-AFAE9C0B59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[teacher.xlsx]Sheet4!PivotTable4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DA-4FED-BE59-D3C47A836FD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DA-4FED-BE59-D3C47A836FD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35</c:v>
                </c:pt>
                <c:pt idx="1">
                  <c:v>43</c:v>
                </c:pt>
              </c:numCache>
            </c:numRef>
          </c:val>
          <c:extLst>
            <c:ext xmlns:c16="http://schemas.microsoft.com/office/drawing/2014/chart" uri="{C3380CC4-5D6E-409C-BE32-E72D297353CC}">
              <c16:uniqueId val="{00000004-BEDA-4FED-BE59-D3C47A836FD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[teacher.xlsx]Sheet7!PivotTable8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ENGLISH</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Sheet7!$A$5:$A$9</c:f>
              <c:strCache>
                <c:ptCount val="4"/>
                <c:pt idx="0">
                  <c:v>GRADE 10</c:v>
                </c:pt>
                <c:pt idx="1">
                  <c:v>GRADE 7</c:v>
                </c:pt>
                <c:pt idx="2">
                  <c:v>GRADE 8</c:v>
                </c:pt>
                <c:pt idx="3">
                  <c:v>GRADE 9</c:v>
                </c:pt>
              </c:strCache>
            </c:strRef>
          </c:cat>
          <c:val>
            <c:numRef>
              <c:f>Sheet7!$B$5:$B$9</c:f>
              <c:numCache>
                <c:formatCode>General</c:formatCode>
                <c:ptCount val="4"/>
                <c:pt idx="1">
                  <c:v>1</c:v>
                </c:pt>
              </c:numCache>
            </c:numRef>
          </c:val>
          <c:extLst>
            <c:ext xmlns:c16="http://schemas.microsoft.com/office/drawing/2014/chart" uri="{C3380CC4-5D6E-409C-BE32-E72D297353CC}">
              <c16:uniqueId val="{00000000-12F5-47C0-B599-D6902F2CE587}"/>
            </c:ext>
          </c:extLst>
        </c:ser>
        <c:ser>
          <c:idx val="1"/>
          <c:order val="1"/>
          <c:tx>
            <c:strRef>
              <c:f>Sheet7!$C$3:$C$4</c:f>
              <c:strCache>
                <c:ptCount val="1"/>
                <c:pt idx="0">
                  <c:v>FILIPINO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Sheet7!$A$5:$A$9</c:f>
              <c:strCache>
                <c:ptCount val="4"/>
                <c:pt idx="0">
                  <c:v>GRADE 10</c:v>
                </c:pt>
                <c:pt idx="1">
                  <c:v>GRADE 7</c:v>
                </c:pt>
                <c:pt idx="2">
                  <c:v>GRADE 8</c:v>
                </c:pt>
                <c:pt idx="3">
                  <c:v>GRADE 9</c:v>
                </c:pt>
              </c:strCache>
            </c:strRef>
          </c:cat>
          <c:val>
            <c:numRef>
              <c:f>Sheet7!$C$5:$C$9</c:f>
              <c:numCache>
                <c:formatCode>General</c:formatCode>
                <c:ptCount val="4"/>
                <c:pt idx="0">
                  <c:v>1</c:v>
                </c:pt>
              </c:numCache>
            </c:numRef>
          </c:val>
          <c:extLst>
            <c:ext xmlns:c16="http://schemas.microsoft.com/office/drawing/2014/chart" uri="{C3380CC4-5D6E-409C-BE32-E72D297353CC}">
              <c16:uniqueId val="{0000001A-12F5-47C0-B599-D6902F2CE587}"/>
            </c:ext>
          </c:extLst>
        </c:ser>
        <c:ser>
          <c:idx val="2"/>
          <c:order val="2"/>
          <c:tx>
            <c:strRef>
              <c:f>Sheet7!$D$3:$D$4</c:f>
              <c:strCache>
                <c:ptCount val="1"/>
                <c:pt idx="0">
                  <c:v>MATHEMATICS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Sheet7!$A$5:$A$9</c:f>
              <c:strCache>
                <c:ptCount val="4"/>
                <c:pt idx="0">
                  <c:v>GRADE 10</c:v>
                </c:pt>
                <c:pt idx="1">
                  <c:v>GRADE 7</c:v>
                </c:pt>
                <c:pt idx="2">
                  <c:v>GRADE 8</c:v>
                </c:pt>
                <c:pt idx="3">
                  <c:v>GRADE 9</c:v>
                </c:pt>
              </c:strCache>
            </c:strRef>
          </c:cat>
          <c:val>
            <c:numRef>
              <c:f>Sheet7!$D$5:$D$9</c:f>
              <c:numCache>
                <c:formatCode>General</c:formatCode>
                <c:ptCount val="4"/>
                <c:pt idx="2">
                  <c:v>2</c:v>
                </c:pt>
              </c:numCache>
            </c:numRef>
          </c:val>
          <c:extLst>
            <c:ext xmlns:c16="http://schemas.microsoft.com/office/drawing/2014/chart" uri="{C3380CC4-5D6E-409C-BE32-E72D297353CC}">
              <c16:uniqueId val="{0000001B-12F5-47C0-B599-D6902F2CE587}"/>
            </c:ext>
          </c:extLst>
        </c:ser>
        <c:ser>
          <c:idx val="3"/>
          <c:order val="3"/>
          <c:tx>
            <c:strRef>
              <c:f>Sheet7!$E$3:$E$4</c:f>
              <c:strCache>
                <c:ptCount val="1"/>
                <c:pt idx="0">
                  <c:v>SCIENCE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Sheet7!$A$5:$A$9</c:f>
              <c:strCache>
                <c:ptCount val="4"/>
                <c:pt idx="0">
                  <c:v>GRADE 10</c:v>
                </c:pt>
                <c:pt idx="1">
                  <c:v>GRADE 7</c:v>
                </c:pt>
                <c:pt idx="2">
                  <c:v>GRADE 8</c:v>
                </c:pt>
                <c:pt idx="3">
                  <c:v>GRADE 9</c:v>
                </c:pt>
              </c:strCache>
            </c:strRef>
          </c:cat>
          <c:val>
            <c:numRef>
              <c:f>Sheet7!$E$5:$E$9</c:f>
              <c:numCache>
                <c:formatCode>General</c:formatCode>
                <c:ptCount val="4"/>
                <c:pt idx="3">
                  <c:v>1</c:v>
                </c:pt>
              </c:numCache>
            </c:numRef>
          </c:val>
          <c:extLst>
            <c:ext xmlns:c16="http://schemas.microsoft.com/office/drawing/2014/chart" uri="{C3380CC4-5D6E-409C-BE32-E72D297353CC}">
              <c16:uniqueId val="{0000001C-12F5-47C0-B599-D6902F2CE587}"/>
            </c:ext>
          </c:extLst>
        </c:ser>
        <c:dLbls>
          <c:dLblPos val="ctr"/>
          <c:showLegendKey val="0"/>
          <c:showVal val="1"/>
          <c:showCatName val="0"/>
          <c:showSerName val="0"/>
          <c:showPercent val="0"/>
          <c:showBubbleSize val="0"/>
        </c:dLbls>
        <c:gapWidth val="150"/>
        <c:overlap val="100"/>
        <c:axId val="1201537775"/>
        <c:axId val="864195743"/>
      </c:barChart>
      <c:catAx>
        <c:axId val="1201537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195743"/>
        <c:crosses val="autoZero"/>
        <c:auto val="1"/>
        <c:lblAlgn val="ctr"/>
        <c:lblOffset val="100"/>
        <c:noMultiLvlLbl val="0"/>
      </c:catAx>
      <c:valAx>
        <c:axId val="8641957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15377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476250</xdr:colOff>
      <xdr:row>10</xdr:row>
      <xdr:rowOff>52387</xdr:rowOff>
    </xdr:from>
    <xdr:to>
      <xdr:col>13</xdr:col>
      <xdr:colOff>28575</xdr:colOff>
      <xdr:row>24</xdr:row>
      <xdr:rowOff>128587</xdr:rowOff>
    </xdr:to>
    <xdr:graphicFrame macro="">
      <xdr:nvGraphicFramePr>
        <xdr:cNvPr id="2" name="Chart 1">
          <a:extLst>
            <a:ext uri="{FF2B5EF4-FFF2-40B4-BE49-F238E27FC236}">
              <a16:creationId xmlns:a16="http://schemas.microsoft.com/office/drawing/2014/main" id="{00A7A132-70A2-23CE-BBC7-F6891D20D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390525</xdr:colOff>
      <xdr:row>4</xdr:row>
      <xdr:rowOff>185737</xdr:rowOff>
    </xdr:from>
    <xdr:to>
      <xdr:col>15</xdr:col>
      <xdr:colOff>85725</xdr:colOff>
      <xdr:row>19</xdr:row>
      <xdr:rowOff>71437</xdr:rowOff>
    </xdr:to>
    <xdr:graphicFrame macro="">
      <xdr:nvGraphicFramePr>
        <xdr:cNvPr id="2" name="Chart 1">
          <a:extLst>
            <a:ext uri="{FF2B5EF4-FFF2-40B4-BE49-F238E27FC236}">
              <a16:creationId xmlns:a16="http://schemas.microsoft.com/office/drawing/2014/main" id="{3E9A55A9-E913-F0BE-D55E-DB7C1884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333375</xdr:colOff>
      <xdr:row>1</xdr:row>
      <xdr:rowOff>76200</xdr:rowOff>
    </xdr:from>
    <xdr:to>
      <xdr:col>11</xdr:col>
      <xdr:colOff>200025</xdr:colOff>
      <xdr:row>4</xdr:row>
      <xdr:rowOff>142875</xdr:rowOff>
    </xdr:to>
    <xdr:sp macro="" textlink="">
      <xdr:nvSpPr>
        <xdr:cNvPr id="2" name="TextBox 1">
          <a:extLst>
            <a:ext uri="{FF2B5EF4-FFF2-40B4-BE49-F238E27FC236}">
              <a16:creationId xmlns:a16="http://schemas.microsoft.com/office/drawing/2014/main" id="{E74E6BA5-1DAB-4B8A-2D28-C34C769B41F6}"/>
            </a:ext>
          </a:extLst>
        </xdr:cNvPr>
        <xdr:cNvSpPr txBox="1"/>
      </xdr:nvSpPr>
      <xdr:spPr>
        <a:xfrm>
          <a:off x="2457450" y="266700"/>
          <a:ext cx="475297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tx1"/>
              </a:solidFill>
            </a:rPr>
            <a:t>TEACHER'S DASH</a:t>
          </a:r>
          <a:r>
            <a:rPr lang="en-US" sz="3600" baseline="0">
              <a:solidFill>
                <a:schemeClr val="tx1"/>
              </a:solidFill>
            </a:rPr>
            <a:t>BOARD</a:t>
          </a:r>
          <a:endParaRPr lang="en-US" sz="3600">
            <a:solidFill>
              <a:schemeClr val="tx1"/>
            </a:solidFill>
          </a:endParaRPr>
        </a:p>
      </xdr:txBody>
    </xdr:sp>
    <xdr:clientData/>
  </xdr:twoCellAnchor>
  <xdr:twoCellAnchor>
    <xdr:from>
      <xdr:col>14</xdr:col>
      <xdr:colOff>0</xdr:colOff>
      <xdr:row>14</xdr:row>
      <xdr:rowOff>19050</xdr:rowOff>
    </xdr:from>
    <xdr:to>
      <xdr:col>21</xdr:col>
      <xdr:colOff>19050</xdr:colOff>
      <xdr:row>25</xdr:row>
      <xdr:rowOff>123825</xdr:rowOff>
    </xdr:to>
    <xdr:graphicFrame macro="">
      <xdr:nvGraphicFramePr>
        <xdr:cNvPr id="6" name="Chart 5">
          <a:extLst>
            <a:ext uri="{FF2B5EF4-FFF2-40B4-BE49-F238E27FC236}">
              <a16:creationId xmlns:a16="http://schemas.microsoft.com/office/drawing/2014/main" id="{573D35A1-FF04-46A6-8991-11EEB20BE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14</xdr:row>
      <xdr:rowOff>47625</xdr:rowOff>
    </xdr:from>
    <xdr:to>
      <xdr:col>13</xdr:col>
      <xdr:colOff>0</xdr:colOff>
      <xdr:row>25</xdr:row>
      <xdr:rowOff>133350</xdr:rowOff>
    </xdr:to>
    <xdr:graphicFrame macro="">
      <xdr:nvGraphicFramePr>
        <xdr:cNvPr id="7" name="Chart 6">
          <a:extLst>
            <a:ext uri="{FF2B5EF4-FFF2-40B4-BE49-F238E27FC236}">
              <a16:creationId xmlns:a16="http://schemas.microsoft.com/office/drawing/2014/main" id="{7AFCFA81-968F-40E3-A15C-685124170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6</xdr:row>
      <xdr:rowOff>28575</xdr:rowOff>
    </xdr:from>
    <xdr:to>
      <xdr:col>2</xdr:col>
      <xdr:colOff>714375</xdr:colOff>
      <xdr:row>15</xdr:row>
      <xdr:rowOff>104775</xdr:rowOff>
    </xdr:to>
    <mc:AlternateContent xmlns:mc="http://schemas.openxmlformats.org/markup-compatibility/2006">
      <mc:Choice xmlns:a14="http://schemas.microsoft.com/office/drawing/2010/main" Requires="a14">
        <xdr:graphicFrame macro="">
          <xdr:nvGraphicFramePr>
            <xdr:cNvPr id="9" name="grade_level">
              <a:extLst>
                <a:ext uri="{FF2B5EF4-FFF2-40B4-BE49-F238E27FC236}">
                  <a16:creationId xmlns:a16="http://schemas.microsoft.com/office/drawing/2014/main" id="{BDABC4A0-F5B3-FDEE-D4D8-BEB5F2634679}"/>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dr:sp macro="" textlink="">
          <xdr:nvSpPr>
            <xdr:cNvPr id="0" name=""/>
            <xdr:cNvSpPr>
              <a:spLocks noTextEdit="1"/>
            </xdr:cNvSpPr>
          </xdr:nvSpPr>
          <xdr:spPr>
            <a:xfrm>
              <a:off x="66675" y="1171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828675</xdr:colOff>
      <xdr:row>6</xdr:row>
      <xdr:rowOff>38100</xdr:rowOff>
    </xdr:from>
    <xdr:to>
      <xdr:col>5</xdr:col>
      <xdr:colOff>495300</xdr:colOff>
      <xdr:row>15</xdr:row>
      <xdr:rowOff>114300</xdr:rowOff>
    </xdr:to>
    <mc:AlternateContent xmlns:mc="http://schemas.openxmlformats.org/markup-compatibility/2006">
      <mc:Choice xmlns:a14="http://schemas.microsoft.com/office/drawing/2010/main" Requires="a14">
        <xdr:graphicFrame macro="">
          <xdr:nvGraphicFramePr>
            <xdr:cNvPr id="10" name="section">
              <a:extLst>
                <a:ext uri="{FF2B5EF4-FFF2-40B4-BE49-F238E27FC236}">
                  <a16:creationId xmlns:a16="http://schemas.microsoft.com/office/drawing/2014/main" id="{B8C4D561-47FF-90AB-EE08-2E1369624DDE}"/>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dr:sp macro="" textlink="">
          <xdr:nvSpPr>
            <xdr:cNvPr id="0" name=""/>
            <xdr:cNvSpPr>
              <a:spLocks noTextEdit="1"/>
            </xdr:cNvSpPr>
          </xdr:nvSpPr>
          <xdr:spPr>
            <a:xfrm>
              <a:off x="2009775" y="1181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15</xdr:row>
      <xdr:rowOff>171450</xdr:rowOff>
    </xdr:from>
    <xdr:to>
      <xdr:col>2</xdr:col>
      <xdr:colOff>723900</xdr:colOff>
      <xdr:row>24</xdr:row>
      <xdr:rowOff>0</xdr:rowOff>
    </xdr:to>
    <mc:AlternateContent xmlns:mc="http://schemas.openxmlformats.org/markup-compatibility/2006">
      <mc:Choice xmlns:a14="http://schemas.microsoft.com/office/drawing/2010/main" Requires="a14">
        <xdr:graphicFrame macro="">
          <xdr:nvGraphicFramePr>
            <xdr:cNvPr id="11" name="subject">
              <a:extLst>
                <a:ext uri="{FF2B5EF4-FFF2-40B4-BE49-F238E27FC236}">
                  <a16:creationId xmlns:a16="http://schemas.microsoft.com/office/drawing/2014/main" id="{5514F89C-884B-1617-8F23-73381F791F77}"/>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76200" y="3762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819150</xdr:colOff>
      <xdr:row>15</xdr:row>
      <xdr:rowOff>171450</xdr:rowOff>
    </xdr:from>
    <xdr:to>
      <xdr:col>5</xdr:col>
      <xdr:colOff>485775</xdr:colOff>
      <xdr:row>24</xdr:row>
      <xdr:rowOff>0</xdr:rowOff>
    </xdr:to>
    <mc:AlternateContent xmlns:mc="http://schemas.openxmlformats.org/markup-compatibility/2006">
      <mc:Choice xmlns:a14="http://schemas.microsoft.com/office/drawing/2010/main" Requires="a14">
        <xdr:graphicFrame macro="">
          <xdr:nvGraphicFramePr>
            <xdr:cNvPr id="12" name="date 1">
              <a:extLst>
                <a:ext uri="{FF2B5EF4-FFF2-40B4-BE49-F238E27FC236}">
                  <a16:creationId xmlns:a16="http://schemas.microsoft.com/office/drawing/2014/main" id="{3F58052B-75A3-4055-9F9C-774CDAC2484E}"/>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2000250" y="3762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0</xdr:colOff>
      <xdr:row>15</xdr:row>
      <xdr:rowOff>28575</xdr:rowOff>
    </xdr:from>
    <xdr:to>
      <xdr:col>24</xdr:col>
      <xdr:colOff>590550</xdr:colOff>
      <xdr:row>16</xdr:row>
      <xdr:rowOff>142874</xdr:rowOff>
    </xdr:to>
    <xdr:sp macro="" textlink="">
      <xdr:nvSpPr>
        <xdr:cNvPr id="13" name="TextBox 12">
          <a:extLst>
            <a:ext uri="{FF2B5EF4-FFF2-40B4-BE49-F238E27FC236}">
              <a16:creationId xmlns:a16="http://schemas.microsoft.com/office/drawing/2014/main" id="{3F662670-6B24-5FDC-66F2-3351D089782C}"/>
            </a:ext>
          </a:extLst>
        </xdr:cNvPr>
        <xdr:cNvSpPr txBox="1"/>
      </xdr:nvSpPr>
      <xdr:spPr>
        <a:xfrm>
          <a:off x="13068300" y="3619500"/>
          <a:ext cx="1943100" cy="30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PASSED</a:t>
          </a:r>
          <a:r>
            <a:rPr lang="en-US" sz="1800" baseline="0"/>
            <a:t> STUDENTS</a:t>
          </a:r>
          <a:endParaRPr lang="en-US" sz="1800"/>
        </a:p>
      </xdr:txBody>
    </xdr:sp>
    <xdr:clientData/>
  </xdr:twoCellAnchor>
  <xdr:twoCellAnchor>
    <xdr:from>
      <xdr:col>26</xdr:col>
      <xdr:colOff>28574</xdr:colOff>
      <xdr:row>15</xdr:row>
      <xdr:rowOff>38100</xdr:rowOff>
    </xdr:from>
    <xdr:to>
      <xdr:col>28</xdr:col>
      <xdr:colOff>552450</xdr:colOff>
      <xdr:row>16</xdr:row>
      <xdr:rowOff>142874</xdr:rowOff>
    </xdr:to>
    <xdr:sp macro="" textlink="">
      <xdr:nvSpPr>
        <xdr:cNvPr id="15" name="TextBox 14">
          <a:extLst>
            <a:ext uri="{FF2B5EF4-FFF2-40B4-BE49-F238E27FC236}">
              <a16:creationId xmlns:a16="http://schemas.microsoft.com/office/drawing/2014/main" id="{A0751FD7-1227-92CA-9904-C16BC4253278}"/>
            </a:ext>
          </a:extLst>
        </xdr:cNvPr>
        <xdr:cNvSpPr txBox="1"/>
      </xdr:nvSpPr>
      <xdr:spPr>
        <a:xfrm>
          <a:off x="15382874" y="3629025"/>
          <a:ext cx="1924051" cy="295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FAILED</a:t>
          </a:r>
          <a:r>
            <a:rPr lang="en-US" sz="1100"/>
            <a:t> </a:t>
          </a:r>
          <a:r>
            <a:rPr lang="en-US" sz="1800"/>
            <a:t>STUDENTS</a:t>
          </a:r>
        </a:p>
      </xdr:txBody>
    </xdr:sp>
    <xdr:clientData/>
  </xdr:twoCellAnchor>
  <xdr:twoCellAnchor>
    <xdr:from>
      <xdr:col>21</xdr:col>
      <xdr:colOff>428624</xdr:colOff>
      <xdr:row>11</xdr:row>
      <xdr:rowOff>257175</xdr:rowOff>
    </xdr:from>
    <xdr:to>
      <xdr:col>25</xdr:col>
      <xdr:colOff>19050</xdr:colOff>
      <xdr:row>11</xdr:row>
      <xdr:rowOff>647700</xdr:rowOff>
    </xdr:to>
    <xdr:sp macro="" textlink="">
      <xdr:nvSpPr>
        <xdr:cNvPr id="16" name="TextBox 15">
          <a:extLst>
            <a:ext uri="{FF2B5EF4-FFF2-40B4-BE49-F238E27FC236}">
              <a16:creationId xmlns:a16="http://schemas.microsoft.com/office/drawing/2014/main" id="{3C901E12-59B2-448D-226D-F2BA0D90BB45}"/>
            </a:ext>
          </a:extLst>
        </xdr:cNvPr>
        <xdr:cNvSpPr txBox="1"/>
      </xdr:nvSpPr>
      <xdr:spPr>
        <a:xfrm>
          <a:off x="12887324" y="2495550"/>
          <a:ext cx="2162176"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STUDENTS: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352425</xdr:colOff>
      <xdr:row>11</xdr:row>
      <xdr:rowOff>9525</xdr:rowOff>
    </xdr:from>
    <xdr:to>
      <xdr:col>12</xdr:col>
      <xdr:colOff>352425</xdr:colOff>
      <xdr:row>24</xdr:row>
      <xdr:rowOff>57150</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9B76CA20-2A0C-07A9-493A-E664446116A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457950" y="210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3888892" createdVersion="8" refreshedVersion="8" minRefreshableVersion="3" recordCount="78" xr:uid="{09DFD124-C508-40D2-AD02-8D9575ECAD8C}">
  <cacheSource type="worksheet">
    <worksheetSource name="class_students"/>
  </cacheSource>
  <cacheFields count="8">
    <cacheField name="id" numFmtId="0">
      <sharedItems containsSemiMixedTypes="0" containsString="0" containsNumber="1" containsInteger="1" minValue="1" maxValue="78"/>
    </cacheField>
    <cacheField name="class_id" numFmtId="0">
      <sharedItems containsSemiMixedTypes="0" containsString="0" containsNumber="1" containsInteger="1" minValue="1" maxValue="5"/>
    </cacheField>
    <cacheField name="first_name" numFmtId="0">
      <sharedItems/>
    </cacheField>
    <cacheField name="last_name" numFmtId="0">
      <sharedItems/>
    </cacheField>
    <cacheField name="middle_name" numFmtId="0">
      <sharedItems containsBlank="1"/>
    </cacheField>
    <cacheField name="gender" numFmtId="0">
      <sharedItems count="2">
        <s v="Male"/>
        <s v="Female"/>
      </sharedItems>
    </cacheField>
    <cacheField name="student_id" numFmtId="0">
      <sharedItems/>
    </cacheField>
    <cacheField name="created_at" numFmtId="22">
      <sharedItems containsSemiMixedTypes="0" containsNonDate="0" containsDate="1" containsString="0" minDate="2026-02-15T11:21:25" maxDate="2026-02-16T18:13: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412037" createdVersion="8" refreshedVersion="8" minRefreshableVersion="3" recordCount="20" xr:uid="{6AF5FE20-1EC8-4E4D-A69D-DA99389C7877}">
  <cacheSource type="worksheet">
    <worksheetSource name="attendance"/>
  </cacheSource>
  <cacheFields count="6">
    <cacheField name="id" numFmtId="0">
      <sharedItems containsSemiMixedTypes="0" containsString="0" containsNumber="1" containsInteger="1" minValue="1" maxValue="26"/>
    </cacheField>
    <cacheField name="student_id" numFmtId="0">
      <sharedItems containsSemiMixedTypes="0" containsString="0" containsNumber="1" containsInteger="1" minValue="1" maxValue="78"/>
    </cacheField>
    <cacheField name="date" numFmtId="14">
      <sharedItems containsSemiMixedTypes="0" containsNonDate="0" containsDate="1" containsString="0" minDate="2026-02-15T00:00:00" maxDate="2026-02-17T00:00:00" count="2">
        <d v="2026-02-15T00:00:00"/>
        <d v="2026-02-16T00:00:00"/>
      </sharedItems>
    </cacheField>
    <cacheField name="status" numFmtId="0">
      <sharedItems count="4">
        <s v="present"/>
        <s v="absent"/>
        <s v="late" u="1"/>
        <s v="excused" u="1"/>
      </sharedItems>
    </cacheField>
    <cacheField name="remarks" numFmtId="0">
      <sharedItems/>
    </cacheField>
    <cacheField name="created_at" numFmtId="22">
      <sharedItems containsSemiMixedTypes="0" containsNonDate="0" containsDate="1" containsString="0" minDate="2026-02-15T11:25:08" maxDate="2026-02-16T21:25:56"/>
    </cacheField>
  </cacheFields>
  <extLst>
    <ext xmlns:x14="http://schemas.microsoft.com/office/spreadsheetml/2009/9/main" uri="{725AE2AE-9491-48be-B2B4-4EB974FC3084}">
      <x14:pivotCacheDefinition pivotCacheId="178828930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412037" createdVersion="8" refreshedVersion="8" minRefreshableVersion="3" recordCount="5" xr:uid="{5B4176AC-3F79-48DE-A7D8-01D09FFB3471}">
  <cacheSource type="worksheet">
    <worksheetSource name="schedules"/>
  </cacheSource>
  <cacheFields count="7">
    <cacheField name="id" numFmtId="0">
      <sharedItems containsSemiMixedTypes="0" containsString="0" containsNumber="1" containsInteger="1" minValue="1" maxValue="5"/>
    </cacheField>
    <cacheField name="class_id" numFmtId="0">
      <sharedItems containsSemiMixedTypes="0" containsString="0" containsNumber="1" containsInteger="1" minValue="1" maxValue="5"/>
    </cacheField>
    <cacheField name="day_of_week" numFmtId="0">
      <sharedItems/>
    </cacheField>
    <cacheField name="start_time" numFmtId="164">
      <sharedItems containsSemiMixedTypes="0" containsNonDate="0" containsDate="1" containsString="0" minDate="1899-12-30T07:30:00" maxDate="1899-12-30T14:30:00"/>
    </cacheField>
    <cacheField name="end_time" numFmtId="164">
      <sharedItems containsSemiMixedTypes="0" containsNonDate="0" containsDate="1" containsString="0" minDate="1899-12-30T09:00:00" maxDate="1899-12-30T16:00:00"/>
    </cacheField>
    <cacheField name="room" numFmtId="0">
      <sharedItems/>
    </cacheField>
    <cacheField name="created_at" numFmtId="22">
      <sharedItems containsSemiMixedTypes="0" containsNonDate="0" containsDate="1" containsString="0" minDate="2026-02-15T11:20:28" maxDate="2026-02-15T11:48:2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4236108" createdVersion="8" refreshedVersion="8" minRefreshableVersion="3" recordCount="5" xr:uid="{BEAECCFE-1779-49E9-AE79-4634A0942D24}">
  <cacheSource type="worksheet">
    <worksheetSource name="classes"/>
  </cacheSource>
  <cacheFields count="6">
    <cacheField name="id" numFmtId="0">
      <sharedItems containsSemiMixedTypes="0" containsString="0" containsNumber="1" containsInteger="1" minValue="1" maxValue="5"/>
    </cacheField>
    <cacheField name="grade_level" numFmtId="0">
      <sharedItems count="4">
        <s v="GRADE 10"/>
        <s v="GRADE 9"/>
        <s v="GRADE 8"/>
        <s v="GRADE 7"/>
      </sharedItems>
    </cacheField>
    <cacheField name="section" numFmtId="0">
      <sharedItems count="5">
        <s v="RIZAL"/>
        <s v="HONESTY"/>
        <s v="SATURN"/>
        <s v="MARS"/>
        <s v="PASCAL"/>
      </sharedItems>
    </cacheField>
    <cacheField name="subject" numFmtId="0">
      <sharedItems count="4">
        <s v="FILIPINO"/>
        <s v="SCIENCE"/>
        <s v="MATHEMATICS"/>
        <s v="ENGLISH"/>
      </sharedItems>
    </cacheField>
    <cacheField name="subject_code" numFmtId="0">
      <sharedItems/>
    </cacheField>
    <cacheField name="created_at" numFmtId="22">
      <sharedItems containsSemiMixedTypes="0" containsNonDate="0" containsDate="1" containsString="0" minDate="2026-02-15T11:19:29" maxDate="2026-02-15T11:45:16"/>
    </cacheField>
  </cacheFields>
  <extLst>
    <ext xmlns:x14="http://schemas.microsoft.com/office/spreadsheetml/2009/9/main" uri="{725AE2AE-9491-48be-B2B4-4EB974FC3084}">
      <x14:pivotCacheDefinition pivotCacheId="11577697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4236108" createdVersion="8" refreshedVersion="8" minRefreshableVersion="3" recordCount="2" xr:uid="{43021B2A-E485-47BD-8D3C-DB282FFBA1ED}">
  <cacheSource type="worksheet">
    <worksheetSource name="final_grades"/>
  </cacheSource>
  <cacheFields count="10">
    <cacheField name="id" numFmtId="0">
      <sharedItems containsSemiMixedTypes="0" containsString="0" containsNumber="1" containsInteger="1" minValue="1" maxValue="2"/>
    </cacheField>
    <cacheField name="student_id" numFmtId="0">
      <sharedItems containsSemiMixedTypes="0" containsString="0" containsNumber="1" containsInteger="1" minValue="53" maxValue="63"/>
    </cacheField>
    <cacheField name="q1_grade" numFmtId="0">
      <sharedItems containsSemiMixedTypes="0" containsString="0" containsNumber="1" minValue="49.56" maxValue="84.37"/>
    </cacheField>
    <cacheField name="q2_grade" numFmtId="0">
      <sharedItems containsSemiMixedTypes="0" containsString="0" containsNumber="1" containsInteger="1" minValue="59" maxValue="92"/>
    </cacheField>
    <cacheField name="q3_grade" numFmtId="0">
      <sharedItems containsSemiMixedTypes="0" containsString="0" containsNumber="1" minValue="55.5" maxValue="95.4"/>
    </cacheField>
    <cacheField name="q4_grade" numFmtId="0">
      <sharedItems containsSemiMixedTypes="0" containsString="0" containsNumber="1" minValue="67.5" maxValue="97.7"/>
    </cacheField>
    <cacheField name="raw_final_grade" numFmtId="0">
      <sharedItems containsSemiMixedTypes="0" containsString="0" containsNumber="1" minValue="57.89" maxValue="92.37"/>
    </cacheField>
    <cacheField name="rounded_final_grade" numFmtId="0">
      <sharedItems containsSemiMixedTypes="0" containsString="0" containsNumber="1" containsInteger="1" minValue="58" maxValue="92"/>
    </cacheField>
    <cacheField name="remarks" numFmtId="0">
      <sharedItems count="2">
        <s v="PASSED"/>
        <s v="FAILED"/>
      </sharedItems>
    </cacheField>
    <cacheField name="finalized_at" numFmtId="22">
      <sharedItems containsSemiMixedTypes="0" containsNonDate="0" containsDate="1" containsString="0" minDate="2026-02-16T14:31:06" maxDate="2026-02-16T14:47:5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9.893214236108" createdVersion="8" refreshedVersion="8" minRefreshableVersion="3" recordCount="1" xr:uid="{4D432BAA-4548-45E1-8622-736F5795E8C9}">
  <cacheSource type="worksheet">
    <worksheetSource name="class_activities"/>
  </cacheSource>
  <cacheFields count="5">
    <cacheField name="id" numFmtId="0">
      <sharedItems containsSemiMixedTypes="0" containsString="0" containsNumber="1" containsInteger="1" minValue="1" maxValue="1"/>
    </cacheField>
    <cacheField name="class_id" numFmtId="0">
      <sharedItems containsSemiMixedTypes="0" containsString="0" containsNumber="1" containsInteger="1" minValue="1" maxValue="1"/>
    </cacheField>
    <cacheField name="activity_date" numFmtId="14">
      <sharedItems containsSemiMixedTypes="0" containsNonDate="0" containsDate="1" containsString="0" minDate="2026-02-16T00:00:00" maxDate="2026-02-17T00:00:00" count="1">
        <d v="2026-02-16T00:00:00"/>
      </sharedItems>
    </cacheField>
    <cacheField name="activity_text" numFmtId="0">
      <sharedItems count="1">
        <s v="FUNRUN"/>
      </sharedItems>
    </cacheField>
    <cacheField name="created_at" numFmtId="22">
      <sharedItems containsSemiMixedTypes="0" containsNonDate="0" containsDate="1" containsString="0" minDate="2026-02-15T11:24:21" maxDate="2026-02-15T11:24: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n v="1"/>
    <n v="1"/>
    <s v="VICTOR"/>
    <s v="ODARVE"/>
    <s v="E"/>
    <x v="0"/>
    <s v="02-2324-13335"/>
    <d v="2026-02-15T11:21:25"/>
  </r>
  <r>
    <n v="2"/>
    <n v="1"/>
    <s v="GABRIEL"/>
    <s v="MADRIDANO"/>
    <s v="M"/>
    <x v="0"/>
    <s v="02-2324-11111"/>
    <d v="2026-02-15T11:30:47"/>
  </r>
  <r>
    <n v="3"/>
    <n v="1"/>
    <s v="Mason"/>
    <s v="Morales"/>
    <m/>
    <x v="0"/>
    <s v="FIL-005-01-01"/>
    <d v="2026-02-15T11:55:56"/>
  </r>
  <r>
    <n v="4"/>
    <n v="2"/>
    <s v="Olivia"/>
    <s v="Fernandez"/>
    <m/>
    <x v="0"/>
    <s v="SCI-101-02-01"/>
    <d v="2026-02-15T11:55:56"/>
  </r>
  <r>
    <n v="5"/>
    <n v="3"/>
    <s v="Amelia"/>
    <s v="Cruz"/>
    <m/>
    <x v="0"/>
    <s v="MATH-102-03-01"/>
    <d v="2026-02-15T11:55:56"/>
  </r>
  <r>
    <n v="6"/>
    <n v="4"/>
    <s v="James"/>
    <s v="Mendoza"/>
    <m/>
    <x v="0"/>
    <s v="MATH-102-04-01"/>
    <d v="2026-02-15T11:55:56"/>
  </r>
  <r>
    <n v="7"/>
    <n v="5"/>
    <s v="Noah"/>
    <s v="Ramos"/>
    <m/>
    <x v="0"/>
    <s v="ENG-103-05-01"/>
    <d v="2026-02-15T11:55:56"/>
  </r>
  <r>
    <n v="8"/>
    <n v="1"/>
    <s v="Sophia"/>
    <s v="Ramos"/>
    <m/>
    <x v="1"/>
    <s v="FIL-005-01-02"/>
    <d v="2026-02-15T11:55:56"/>
  </r>
  <r>
    <n v="9"/>
    <n v="2"/>
    <s v="Lucas"/>
    <s v="Garcia"/>
    <m/>
    <x v="1"/>
    <s v="SCI-101-02-02"/>
    <d v="2026-02-15T11:55:56"/>
  </r>
  <r>
    <n v="10"/>
    <n v="3"/>
    <s v="Elijah"/>
    <s v="Rivera"/>
    <m/>
    <x v="1"/>
    <s v="MATH-102-03-02"/>
    <d v="2026-02-15T11:55:56"/>
  </r>
  <r>
    <n v="11"/>
    <n v="4"/>
    <s v="Benjamin"/>
    <s v="Torres"/>
    <m/>
    <x v="1"/>
    <s v="MATH-102-04-02"/>
    <d v="2026-02-15T11:55:56"/>
  </r>
  <r>
    <n v="12"/>
    <n v="5"/>
    <s v="Elijah"/>
    <s v="Bautista"/>
    <m/>
    <x v="1"/>
    <s v="ENG-103-05-02"/>
    <d v="2026-02-15T11:55:56"/>
  </r>
  <r>
    <n v="13"/>
    <n v="1"/>
    <s v="Isabella"/>
    <s v="Villanueva"/>
    <m/>
    <x v="0"/>
    <s v="FIL-005-01-03"/>
    <d v="2026-02-15T11:55:56"/>
  </r>
  <r>
    <n v="14"/>
    <n v="2"/>
    <s v="Sophia"/>
    <s v="Flores"/>
    <m/>
    <x v="0"/>
    <s v="SCI-101-02-03"/>
    <d v="2026-02-15T11:55:56"/>
  </r>
  <r>
    <n v="15"/>
    <n v="3"/>
    <s v="Noah"/>
    <s v="Santos"/>
    <m/>
    <x v="0"/>
    <s v="MATH-102-03-03"/>
    <d v="2026-02-15T11:55:56"/>
  </r>
  <r>
    <n v="16"/>
    <n v="4"/>
    <s v="Isabella"/>
    <s v="Salazar"/>
    <m/>
    <x v="0"/>
    <s v="MATH-102-04-03"/>
    <d v="2026-02-15T11:55:56"/>
  </r>
  <r>
    <n v="17"/>
    <n v="5"/>
    <s v="Charlotte"/>
    <s v="Mendoza"/>
    <m/>
    <x v="0"/>
    <s v="ENG-103-05-03"/>
    <d v="2026-02-15T11:55:56"/>
  </r>
  <r>
    <n v="18"/>
    <n v="1"/>
    <s v="Ethan"/>
    <s v="Navarro"/>
    <m/>
    <x v="1"/>
    <s v="FIL-005-01-04"/>
    <d v="2026-02-15T11:55:56"/>
  </r>
  <r>
    <n v="19"/>
    <n v="2"/>
    <s v="Emma"/>
    <s v="Villanueva"/>
    <m/>
    <x v="1"/>
    <s v="SCI-101-02-04"/>
    <d v="2026-02-15T11:55:56"/>
  </r>
  <r>
    <n v="20"/>
    <n v="3"/>
    <s v="Henry"/>
    <s v="Garcia"/>
    <m/>
    <x v="1"/>
    <s v="MATH-102-03-04"/>
    <d v="2026-02-15T11:55:56"/>
  </r>
  <r>
    <n v="21"/>
    <n v="4"/>
    <s v="Ava"/>
    <s v="Flores"/>
    <m/>
    <x v="1"/>
    <s v="MATH-102-04-04"/>
    <d v="2026-02-15T11:55:56"/>
  </r>
  <r>
    <n v="22"/>
    <n v="5"/>
    <s v="Isabella"/>
    <s v="Cruz"/>
    <m/>
    <x v="1"/>
    <s v="ENG-103-05-04"/>
    <d v="2026-02-15T11:55:56"/>
  </r>
  <r>
    <n v="23"/>
    <n v="1"/>
    <s v="Ava"/>
    <s v="Navarro"/>
    <m/>
    <x v="0"/>
    <s v="FIL-005-01-05"/>
    <d v="2026-02-15T11:55:56"/>
  </r>
  <r>
    <n v="24"/>
    <n v="2"/>
    <s v="James"/>
    <s v="Diaz"/>
    <m/>
    <x v="0"/>
    <s v="SCI-101-02-05"/>
    <d v="2026-02-15T11:55:56"/>
  </r>
  <r>
    <n v="25"/>
    <n v="3"/>
    <s v="Ava"/>
    <s v="Aquino"/>
    <m/>
    <x v="0"/>
    <s v="MATH-102-03-05"/>
    <d v="2026-02-15T11:55:56"/>
  </r>
  <r>
    <n v="26"/>
    <n v="4"/>
    <s v="Lucas"/>
    <s v="Bautista"/>
    <m/>
    <x v="0"/>
    <s v="MATH-102-04-05"/>
    <d v="2026-02-15T11:55:56"/>
  </r>
  <r>
    <n v="27"/>
    <n v="5"/>
    <s v="Sophia"/>
    <s v="Castro"/>
    <m/>
    <x v="0"/>
    <s v="ENG-103-05-05"/>
    <d v="2026-02-15T11:55:56"/>
  </r>
  <r>
    <n v="28"/>
    <n v="1"/>
    <s v="Ava"/>
    <s v="Diaz"/>
    <m/>
    <x v="1"/>
    <s v="FIL-005-01-06"/>
    <d v="2026-02-15T11:55:56"/>
  </r>
  <r>
    <n v="29"/>
    <n v="2"/>
    <s v="Daniel"/>
    <s v="Castro"/>
    <m/>
    <x v="1"/>
    <s v="SCI-101-02-06"/>
    <d v="2026-02-15T11:55:56"/>
  </r>
  <r>
    <n v="30"/>
    <n v="3"/>
    <s v="Mason"/>
    <s v="Gonzales"/>
    <m/>
    <x v="1"/>
    <s v="MATH-102-03-06"/>
    <d v="2026-02-15T11:55:56"/>
  </r>
  <r>
    <n v="31"/>
    <n v="4"/>
    <s v="Ethan"/>
    <s v="Domingo"/>
    <m/>
    <x v="1"/>
    <s v="MATH-102-04-06"/>
    <d v="2026-02-15T11:55:56"/>
  </r>
  <r>
    <n v="32"/>
    <n v="5"/>
    <s v="Alexander"/>
    <s v="Castro"/>
    <m/>
    <x v="1"/>
    <s v="ENG-103-05-06"/>
    <d v="2026-02-15T11:55:56"/>
  </r>
  <r>
    <n v="33"/>
    <n v="1"/>
    <s v="Sophia"/>
    <s v="Ramos"/>
    <m/>
    <x v="0"/>
    <s v="FIL-005-01-07"/>
    <d v="2026-02-15T11:55:56"/>
  </r>
  <r>
    <n v="34"/>
    <n v="2"/>
    <s v="Noah"/>
    <s v="Mendoza"/>
    <m/>
    <x v="0"/>
    <s v="SCI-101-02-07"/>
    <d v="2026-02-15T11:55:56"/>
  </r>
  <r>
    <n v="35"/>
    <n v="3"/>
    <s v="Alexander"/>
    <s v="Aquino"/>
    <m/>
    <x v="0"/>
    <s v="MATH-102-03-07"/>
    <d v="2026-02-15T11:55:56"/>
  </r>
  <r>
    <n v="36"/>
    <n v="4"/>
    <s v="Noah"/>
    <s v="Fernandez"/>
    <m/>
    <x v="0"/>
    <s v="MATH-102-04-07"/>
    <d v="2026-02-15T11:55:56"/>
  </r>
  <r>
    <n v="37"/>
    <n v="5"/>
    <s v="Olivia"/>
    <s v="Reyes"/>
    <m/>
    <x v="0"/>
    <s v="ENG-103-05-07"/>
    <d v="2026-02-15T11:55:56"/>
  </r>
  <r>
    <n v="38"/>
    <n v="1"/>
    <s v="Benjamin"/>
    <s v="Rivera"/>
    <m/>
    <x v="1"/>
    <s v="FIL-005-01-08"/>
    <d v="2026-02-15T11:55:56"/>
  </r>
  <r>
    <n v="39"/>
    <n v="2"/>
    <s v="Henry"/>
    <s v="Rivera"/>
    <m/>
    <x v="1"/>
    <s v="SCI-101-02-08"/>
    <d v="2026-02-15T11:55:56"/>
  </r>
  <r>
    <n v="40"/>
    <n v="3"/>
    <s v="James"/>
    <s v="Mendoza"/>
    <m/>
    <x v="1"/>
    <s v="MATH-102-03-08"/>
    <d v="2026-02-15T11:55:56"/>
  </r>
  <r>
    <n v="41"/>
    <n v="4"/>
    <s v="Alexander"/>
    <s v="Gonzales"/>
    <m/>
    <x v="1"/>
    <s v="MATH-102-04-08"/>
    <d v="2026-02-15T11:55:56"/>
  </r>
  <r>
    <n v="42"/>
    <n v="5"/>
    <s v="James"/>
    <s v="Aquino"/>
    <m/>
    <x v="1"/>
    <s v="ENG-103-05-08"/>
    <d v="2026-02-15T11:55:56"/>
  </r>
  <r>
    <n v="43"/>
    <n v="1"/>
    <s v="Ethan"/>
    <s v="Mendoza"/>
    <m/>
    <x v="0"/>
    <s v="FIL-005-01-09"/>
    <d v="2026-02-15T11:55:56"/>
  </r>
  <r>
    <n v="44"/>
    <n v="2"/>
    <s v="Ethan"/>
    <s v="Mendoza"/>
    <m/>
    <x v="0"/>
    <s v="SCI-101-02-09"/>
    <d v="2026-02-15T11:55:56"/>
  </r>
  <r>
    <n v="45"/>
    <n v="3"/>
    <s v="James"/>
    <s v="Santos"/>
    <m/>
    <x v="0"/>
    <s v="MATH-102-03-09"/>
    <d v="2026-02-15T11:55:56"/>
  </r>
  <r>
    <n v="46"/>
    <n v="4"/>
    <s v="Daniel"/>
    <s v="Diaz"/>
    <m/>
    <x v="0"/>
    <s v="MATH-102-04-09"/>
    <d v="2026-02-15T11:55:56"/>
  </r>
  <r>
    <n v="47"/>
    <n v="5"/>
    <s v="Charlotte"/>
    <s v="Fernandez"/>
    <m/>
    <x v="0"/>
    <s v="ENG-103-05-09"/>
    <d v="2026-02-15T11:55:56"/>
  </r>
  <r>
    <n v="48"/>
    <n v="1"/>
    <s v="Henry"/>
    <s v="Gonzales"/>
    <m/>
    <x v="1"/>
    <s v="FIL-005-01-10"/>
    <d v="2026-02-15T11:55:56"/>
  </r>
  <r>
    <n v="49"/>
    <n v="2"/>
    <s v="Henry"/>
    <s v="Rivera"/>
    <m/>
    <x v="1"/>
    <s v="SCI-101-02-10"/>
    <d v="2026-02-15T11:55:56"/>
  </r>
  <r>
    <n v="50"/>
    <n v="3"/>
    <s v="Elijah"/>
    <s v="Domingo"/>
    <m/>
    <x v="1"/>
    <s v="MATH-102-03-10"/>
    <d v="2026-02-15T11:55:56"/>
  </r>
  <r>
    <n v="51"/>
    <n v="4"/>
    <s v="Henry"/>
    <s v="Rivera"/>
    <m/>
    <x v="1"/>
    <s v="MATH-102-04-10"/>
    <d v="2026-02-15T11:55:56"/>
  </r>
  <r>
    <n v="52"/>
    <n v="5"/>
    <s v="Isabella"/>
    <s v="Bautista"/>
    <m/>
    <x v="1"/>
    <s v="ENG-103-05-10"/>
    <d v="2026-02-15T11:55:56"/>
  </r>
  <r>
    <n v="53"/>
    <n v="1"/>
    <s v="Alexander"/>
    <s v="Aquino"/>
    <m/>
    <x v="0"/>
    <s v="FIL-005-01-11"/>
    <d v="2026-02-15T11:55:56"/>
  </r>
  <r>
    <n v="54"/>
    <n v="2"/>
    <s v="Ethan"/>
    <s v="Ramos"/>
    <m/>
    <x v="0"/>
    <s v="SCI-101-02-11"/>
    <d v="2026-02-15T11:55:56"/>
  </r>
  <r>
    <n v="55"/>
    <n v="3"/>
    <s v="Benjamin"/>
    <s v="Torres"/>
    <m/>
    <x v="0"/>
    <s v="MATH-102-03-11"/>
    <d v="2026-02-15T11:55:56"/>
  </r>
  <r>
    <n v="56"/>
    <n v="4"/>
    <s v="Ethan"/>
    <s v="Castro"/>
    <m/>
    <x v="0"/>
    <s v="MATH-102-04-11"/>
    <d v="2026-02-15T11:55:56"/>
  </r>
  <r>
    <n v="57"/>
    <n v="5"/>
    <s v="Olivia"/>
    <s v="Fernandez"/>
    <m/>
    <x v="0"/>
    <s v="ENG-103-05-11"/>
    <d v="2026-02-15T11:55:56"/>
  </r>
  <r>
    <n v="58"/>
    <n v="1"/>
    <s v="Amelia"/>
    <s v="Morales"/>
    <m/>
    <x v="1"/>
    <s v="FIL-005-01-12"/>
    <d v="2026-02-15T11:55:56"/>
  </r>
  <r>
    <n v="59"/>
    <n v="2"/>
    <s v="Mia"/>
    <s v="Cruz"/>
    <m/>
    <x v="1"/>
    <s v="SCI-101-02-12"/>
    <d v="2026-02-15T11:55:56"/>
  </r>
  <r>
    <n v="60"/>
    <n v="3"/>
    <s v="Charlotte"/>
    <s v="Reyes"/>
    <m/>
    <x v="1"/>
    <s v="MATH-102-03-12"/>
    <d v="2026-02-15T11:55:56"/>
  </r>
  <r>
    <n v="61"/>
    <n v="4"/>
    <s v="Elijah"/>
    <s v="Morales"/>
    <m/>
    <x v="1"/>
    <s v="MATH-102-04-12"/>
    <d v="2026-02-15T11:55:56"/>
  </r>
  <r>
    <n v="62"/>
    <n v="5"/>
    <s v="Mason"/>
    <s v="Castro"/>
    <m/>
    <x v="1"/>
    <s v="ENG-103-05-12"/>
    <d v="2026-02-15T11:55:56"/>
  </r>
  <r>
    <n v="63"/>
    <n v="1"/>
    <s v="Ethan"/>
    <s v="Cruz"/>
    <m/>
    <x v="0"/>
    <s v="FIL-005-01-13"/>
    <d v="2026-02-15T11:55:56"/>
  </r>
  <r>
    <n v="64"/>
    <n v="2"/>
    <s v="Sophia"/>
    <s v="Ramos"/>
    <m/>
    <x v="0"/>
    <s v="SCI-101-02-13"/>
    <d v="2026-02-15T11:55:56"/>
  </r>
  <r>
    <n v="65"/>
    <n v="3"/>
    <s v="Henry"/>
    <s v="Mendoza"/>
    <m/>
    <x v="0"/>
    <s v="MATH-102-03-13"/>
    <d v="2026-02-15T11:55:56"/>
  </r>
  <r>
    <n v="66"/>
    <n v="4"/>
    <s v="Olivia"/>
    <s v="Salazar"/>
    <m/>
    <x v="0"/>
    <s v="MATH-102-04-13"/>
    <d v="2026-02-15T11:55:56"/>
  </r>
  <r>
    <n v="67"/>
    <n v="5"/>
    <s v="Olivia"/>
    <s v="Garcia"/>
    <m/>
    <x v="0"/>
    <s v="ENG-103-05-13"/>
    <d v="2026-02-15T11:55:56"/>
  </r>
  <r>
    <n v="68"/>
    <n v="1"/>
    <s v="Sophia"/>
    <s v="Torres"/>
    <m/>
    <x v="1"/>
    <s v="FIL-005-01-14"/>
    <d v="2026-02-15T11:55:56"/>
  </r>
  <r>
    <n v="69"/>
    <n v="2"/>
    <s v="Isabella"/>
    <s v="Morales"/>
    <m/>
    <x v="1"/>
    <s v="SCI-101-02-14"/>
    <d v="2026-02-15T11:55:56"/>
  </r>
  <r>
    <n v="70"/>
    <n v="3"/>
    <s v="Benjamin"/>
    <s v="Reyes"/>
    <m/>
    <x v="1"/>
    <s v="MATH-102-03-14"/>
    <d v="2026-02-15T11:55:56"/>
  </r>
  <r>
    <n v="71"/>
    <n v="4"/>
    <s v="Alexander"/>
    <s v="Gonzales"/>
    <m/>
    <x v="1"/>
    <s v="MATH-102-04-14"/>
    <d v="2026-02-15T11:55:56"/>
  </r>
  <r>
    <n v="72"/>
    <n v="5"/>
    <s v="Noah"/>
    <s v="Rivera"/>
    <m/>
    <x v="1"/>
    <s v="ENG-103-05-14"/>
    <d v="2026-02-15T11:55:56"/>
  </r>
  <r>
    <n v="73"/>
    <n v="1"/>
    <s v="Amelia"/>
    <s v="Mendoza"/>
    <m/>
    <x v="0"/>
    <s v="FIL-005-01-15"/>
    <d v="2026-02-15T11:55:56"/>
  </r>
  <r>
    <n v="74"/>
    <n v="2"/>
    <s v="Isabella"/>
    <s v="Ramos"/>
    <m/>
    <x v="0"/>
    <s v="SCI-101-02-15"/>
    <d v="2026-02-15T11:55:56"/>
  </r>
  <r>
    <n v="75"/>
    <n v="3"/>
    <s v="Amelia"/>
    <s v="Reyes"/>
    <m/>
    <x v="0"/>
    <s v="MATH-102-03-15"/>
    <d v="2026-02-15T11:55:56"/>
  </r>
  <r>
    <n v="76"/>
    <n v="4"/>
    <s v="Alexander"/>
    <s v="Ramos"/>
    <m/>
    <x v="0"/>
    <s v="MATH-102-04-15"/>
    <d v="2026-02-15T11:55:56"/>
  </r>
  <r>
    <n v="77"/>
    <n v="5"/>
    <s v="Amelia"/>
    <s v="Garcia"/>
    <m/>
    <x v="0"/>
    <s v="ENG-103-05-15"/>
    <d v="2026-02-15T11:55:56"/>
  </r>
  <r>
    <n v="78"/>
    <n v="1"/>
    <s v="JAPHET"/>
    <s v="DOROIN"/>
    <s v="C"/>
    <x v="0"/>
    <s v="02-2324-12345"/>
    <d v="2026-02-16T18:13: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
    <x v="0"/>
    <x v="0"/>
    <s v=""/>
    <d v="2026-02-15T11:25:08"/>
  </r>
  <r>
    <n v="4"/>
    <n v="2"/>
    <x v="0"/>
    <x v="1"/>
    <s v=""/>
    <d v="2026-02-15T11:30:57"/>
  </r>
  <r>
    <n v="6"/>
    <n v="53"/>
    <x v="1"/>
    <x v="1"/>
    <s v=""/>
    <d v="2026-02-16T14:21:41"/>
  </r>
  <r>
    <n v="7"/>
    <n v="63"/>
    <x v="1"/>
    <x v="1"/>
    <s v=""/>
    <d v="2026-02-16T14:21:41"/>
  </r>
  <r>
    <n v="8"/>
    <n v="28"/>
    <x v="1"/>
    <x v="1"/>
    <s v=""/>
    <d v="2026-02-16T14:21:41"/>
  </r>
  <r>
    <n v="9"/>
    <n v="48"/>
    <x v="1"/>
    <x v="0"/>
    <s v=""/>
    <d v="2026-02-16T14:21:41"/>
  </r>
  <r>
    <n v="10"/>
    <n v="2"/>
    <x v="1"/>
    <x v="0"/>
    <s v=""/>
    <d v="2026-02-16T14:21:41"/>
  </r>
  <r>
    <n v="11"/>
    <n v="73"/>
    <x v="1"/>
    <x v="0"/>
    <s v=""/>
    <d v="2026-02-16T14:21:41"/>
  </r>
  <r>
    <n v="12"/>
    <n v="43"/>
    <x v="1"/>
    <x v="0"/>
    <s v=""/>
    <d v="2026-02-16T14:21:41"/>
  </r>
  <r>
    <n v="13"/>
    <n v="58"/>
    <x v="1"/>
    <x v="0"/>
    <s v=""/>
    <d v="2026-02-16T14:21:41"/>
  </r>
  <r>
    <n v="14"/>
    <n v="3"/>
    <x v="1"/>
    <x v="0"/>
    <s v=""/>
    <d v="2026-02-16T14:21:41"/>
  </r>
  <r>
    <n v="15"/>
    <n v="23"/>
    <x v="1"/>
    <x v="0"/>
    <s v=""/>
    <d v="2026-02-16T14:21:41"/>
  </r>
  <r>
    <n v="16"/>
    <n v="18"/>
    <x v="1"/>
    <x v="0"/>
    <s v=""/>
    <d v="2026-02-16T14:21:41"/>
  </r>
  <r>
    <n v="17"/>
    <n v="1"/>
    <x v="1"/>
    <x v="0"/>
    <s v=""/>
    <d v="2026-02-16T14:21:41"/>
  </r>
  <r>
    <n v="18"/>
    <n v="33"/>
    <x v="1"/>
    <x v="0"/>
    <s v=""/>
    <d v="2026-02-16T14:21:41"/>
  </r>
  <r>
    <n v="19"/>
    <n v="8"/>
    <x v="1"/>
    <x v="0"/>
    <s v=""/>
    <d v="2026-02-16T14:21:41"/>
  </r>
  <r>
    <n v="20"/>
    <n v="38"/>
    <x v="1"/>
    <x v="0"/>
    <s v=""/>
    <d v="2026-02-16T14:21:41"/>
  </r>
  <r>
    <n v="21"/>
    <n v="68"/>
    <x v="1"/>
    <x v="0"/>
    <s v=""/>
    <d v="2026-02-16T14:21:41"/>
  </r>
  <r>
    <n v="22"/>
    <n v="13"/>
    <x v="1"/>
    <x v="0"/>
    <s v=""/>
    <d v="2026-02-16T14:21:41"/>
  </r>
  <r>
    <n v="26"/>
    <n v="78"/>
    <x v="1"/>
    <x v="0"/>
    <s v=""/>
    <d v="2026-02-16T21:25: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n v="1"/>
    <s v="Monday"/>
    <d v="1899-12-30T07:30:00"/>
    <d v="1899-12-30T09:00:00"/>
    <s v="ROOM 105"/>
    <d v="2026-02-15T11:20:28"/>
  </r>
  <r>
    <n v="2"/>
    <n v="5"/>
    <s v="Tuesday"/>
    <d v="1899-12-30T13:00:00"/>
    <d v="1899-12-30T15:00:00"/>
    <s v="ROOM 101"/>
    <d v="2026-02-15T11:46:05"/>
  </r>
  <r>
    <n v="3"/>
    <n v="4"/>
    <s v="Wednesday"/>
    <d v="1899-12-30T09:00:00"/>
    <d v="1899-12-30T11:59:00"/>
    <s v="ROOM 102"/>
    <d v="2026-02-15T11:47:00"/>
  </r>
  <r>
    <n v="4"/>
    <n v="3"/>
    <s v="Thursday"/>
    <d v="1899-12-30T14:30:00"/>
    <d v="1899-12-30T16:00:00"/>
    <s v="ROOM 103"/>
    <d v="2026-02-15T11:47:42"/>
  </r>
  <r>
    <n v="5"/>
    <n v="2"/>
    <s v="Friday"/>
    <d v="1899-12-30T07:30:00"/>
    <d v="1899-12-30T10:30:00"/>
    <s v="ROOM 104"/>
    <d v="2026-02-15T11:48:2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x v="0"/>
    <x v="0"/>
    <s v="FIL-005"/>
    <d v="2026-02-15T11:19:29"/>
  </r>
  <r>
    <n v="2"/>
    <x v="1"/>
    <x v="1"/>
    <x v="1"/>
    <s v="SCI-101"/>
    <d v="2026-02-15T11:42:50"/>
  </r>
  <r>
    <n v="3"/>
    <x v="2"/>
    <x v="2"/>
    <x v="2"/>
    <s v="MATH-102"/>
    <d v="2026-02-15T11:44:01"/>
  </r>
  <r>
    <n v="4"/>
    <x v="2"/>
    <x v="3"/>
    <x v="2"/>
    <s v="MATH-102"/>
    <d v="2026-02-15T11:44:38"/>
  </r>
  <r>
    <n v="5"/>
    <x v="3"/>
    <x v="4"/>
    <x v="3"/>
    <s v="ENG-103"/>
    <d v="2026-02-15T11:45:1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1"/>
    <n v="53"/>
    <n v="84.37"/>
    <n v="92"/>
    <n v="95.4"/>
    <n v="97.7"/>
    <n v="92.37"/>
    <n v="92"/>
    <x v="0"/>
    <d v="2026-02-16T14:31:06"/>
  </r>
  <r>
    <n v="2"/>
    <n v="63"/>
    <n v="49.56"/>
    <n v="59"/>
    <n v="55.5"/>
    <n v="67.5"/>
    <n v="57.89"/>
    <n v="58"/>
    <x v="1"/>
    <d v="2026-02-16T14:47:5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n v="1"/>
    <x v="0"/>
    <x v="0"/>
    <d v="2026-02-15T11:24: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CDA49-9A2B-4E2D-B353-2CF4F285F0B3}" name="PivotTable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pivotField showAll="0"/>
    <pivotField numFmtId="164" showAll="0"/>
    <pivotField numFmtId="164" showAll="0"/>
    <pivotField showAll="0"/>
    <pivotField numFmtId="2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7AB1A-0E03-4695-BDAF-C78635320271}" name="PivotTable9"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pivotField showAll="0"/>
    <pivotField showAll="0"/>
    <pivotField showAll="0"/>
    <pivotField showAll="0"/>
    <pivotField showAll="0"/>
    <pivotField showAll="0"/>
    <pivotField showAll="0"/>
    <pivotField axis="axisRow" dataField="1" showAll="0">
      <items count="3">
        <item x="1"/>
        <item x="0"/>
        <item t="default"/>
      </items>
    </pivotField>
    <pivotField numFmtId="22" showAll="0"/>
  </pivotFields>
  <rowFields count="1">
    <field x="8"/>
  </rowFields>
  <rowItems count="3">
    <i>
      <x/>
    </i>
    <i>
      <x v="1"/>
    </i>
    <i t="grand">
      <x/>
    </i>
  </rowItems>
  <colItems count="1">
    <i/>
  </colItems>
  <dataFields count="1">
    <dataField name="Count of remark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1EBF1-DB14-46D2-8594-D417B6CCB4C4}" name="PivotTable8"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9" firstHeaderRow="1" firstDataRow="2" firstDataCol="1"/>
  <pivotFields count="6">
    <pivotField showAll="0"/>
    <pivotField axis="axisRow" dataField="1" showAll="0">
      <items count="5">
        <item x="0"/>
        <item x="3"/>
        <item x="2"/>
        <item x="1"/>
        <item t="default"/>
      </items>
    </pivotField>
    <pivotField showAll="0">
      <items count="6">
        <item x="1"/>
        <item x="3"/>
        <item x="4"/>
        <item x="0"/>
        <item x="2"/>
        <item t="default"/>
      </items>
    </pivotField>
    <pivotField axis="axisCol" showAll="0">
      <items count="5">
        <item x="3"/>
        <item x="0"/>
        <item x="2"/>
        <item x="1"/>
        <item t="default"/>
      </items>
    </pivotField>
    <pivotField showAll="0"/>
    <pivotField numFmtId="22" showAll="0"/>
  </pivotFields>
  <rowFields count="1">
    <field x="1"/>
  </rowFields>
  <rowItems count="5">
    <i>
      <x/>
    </i>
    <i>
      <x v="1"/>
    </i>
    <i>
      <x v="2"/>
    </i>
    <i>
      <x v="3"/>
    </i>
    <i t="grand">
      <x/>
    </i>
  </rowItems>
  <colFields count="1">
    <field x="3"/>
  </colFields>
  <colItems count="5">
    <i>
      <x/>
    </i>
    <i>
      <x v="1"/>
    </i>
    <i>
      <x v="2"/>
    </i>
    <i>
      <x v="3"/>
    </i>
    <i t="grand">
      <x/>
    </i>
  </colItems>
  <dataFields count="1">
    <dataField name="Count of grade_level" fld="1" subtotal="count"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455AE-74CB-4254-B818-C3F8D448F5F8}"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pivotField showAll="0"/>
    <pivotField showAll="0"/>
    <pivotField showAll="0"/>
    <pivotField showAll="0"/>
    <pivotField showAll="0"/>
    <pivotField showAll="0"/>
    <pivotField numFmtId="2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9CFD16-BF93-46AD-A269-A617E0D330CD}" name="PivotTable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8">
    <pivotField showAll="0"/>
    <pivotField showAll="0"/>
    <pivotField showAll="0"/>
    <pivotField showAll="0"/>
    <pivotField showAll="0"/>
    <pivotField axis="axisRow" dataField="1" showAll="0">
      <items count="3">
        <item x="1"/>
        <item x="0"/>
        <item t="default"/>
      </items>
    </pivotField>
    <pivotField showAll="0"/>
    <pivotField numFmtId="22" showAll="0"/>
  </pivotFields>
  <rowFields count="1">
    <field x="5"/>
  </rowFields>
  <rowItems count="3">
    <i>
      <x/>
    </i>
    <i>
      <x v="1"/>
    </i>
    <i t="grand">
      <x/>
    </i>
  </rowItems>
  <colItems count="1">
    <i/>
  </colItems>
  <dataFields count="1">
    <dataField name="Count of gender" fld="5" subtotal="count" baseField="0" baseItem="0"/>
  </dataFields>
  <chartFormats count="4">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888B41-DF67-4803-A091-1AC861841F0C}" name="PivotTable1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pivotField showAll="0"/>
    <pivotField showAll="0"/>
    <pivotField showAll="0"/>
    <pivotField dataField="1" showAll="0"/>
    <pivotField numFmtId="22" showAll="0"/>
  </pivotFields>
  <rowItems count="1">
    <i/>
  </rowItems>
  <colItems count="1">
    <i/>
  </colItems>
  <dataFields count="1">
    <dataField name="Count of student_i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C7E250-4304-4C4F-A3D7-04890DD4AD70}" name="PivotTable1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1" firstDataRow="3" firstDataCol="0"/>
  <pivotFields count="5">
    <pivotField showAll="0"/>
    <pivotField showAll="0"/>
    <pivotField axis="axisCol" numFmtId="14" showAll="0">
      <items count="2">
        <item x="0"/>
        <item t="default"/>
      </items>
    </pivotField>
    <pivotField axis="axisCol" showAll="0">
      <items count="2">
        <item x="0"/>
        <item t="default"/>
      </items>
    </pivotField>
    <pivotField numFmtId="22" showAll="0"/>
  </pivotFields>
  <rowItems count="1">
    <i/>
  </rowItems>
  <colFields count="2">
    <field x="3"/>
    <field x="2"/>
  </colFields>
  <colItems count="3">
    <i>
      <x/>
      <x/>
    </i>
    <i t="default">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E30571-25A5-4270-9544-C5E23664C46A}" name="PivotTable2"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6">
    <pivotField showAll="0"/>
    <pivotField showAll="0"/>
    <pivotField numFmtId="14" showAll="0">
      <items count="3">
        <item x="0"/>
        <item x="1"/>
        <item t="default"/>
      </items>
    </pivotField>
    <pivotField axis="axisRow" dataField="1" showAll="0">
      <items count="5">
        <item x="1"/>
        <item m="1" x="3"/>
        <item m="1" x="2"/>
        <item x="0"/>
        <item t="default"/>
      </items>
    </pivotField>
    <pivotField showAll="0"/>
    <pivotField numFmtId="22" showAll="0"/>
  </pivotFields>
  <rowFields count="1">
    <field x="3"/>
  </rowFields>
  <rowItems count="3">
    <i>
      <x/>
    </i>
    <i>
      <x v="3"/>
    </i>
    <i t="grand">
      <x/>
    </i>
  </rowItems>
  <colItems count="1">
    <i/>
  </colItems>
  <dataFields count="1">
    <dataField name="Count of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FD108D01-5296-4202-AD38-4005083E8A96}"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3" name="username" tableColumnId="3"/>
      <queryTableField id="4" name="email" tableColumnId="4"/>
      <queryTableField id="5" name="password" tableColumnId="5"/>
      <queryTableField id="6" name="role" tableColumnId="6"/>
      <queryTableField id="7" name="student_profile_id" tableColumnId="7"/>
      <queryTableField id="8" name="last_login_at" tableColumnId="8"/>
      <queryTableField id="9" name="created_a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230EEFD2-1FA1-42FD-812A-1E9A7597A4DC}" autoFormatId="16" applyNumberFormats="0" applyBorderFormats="0" applyFontFormats="0" applyPatternFormats="0" applyAlignmentFormats="0" applyWidthHeightFormats="0">
  <queryTableRefresh nextId="8">
    <queryTableFields count="7">
      <queryTableField id="1" name="id" tableColumnId="1"/>
      <queryTableField id="2" name="class_id" tableColumnId="2"/>
      <queryTableField id="3" name="day_of_week" tableColumnId="3"/>
      <queryTableField id="4" name="start_time" tableColumnId="4"/>
      <queryTableField id="5" name="end_time" tableColumnId="5"/>
      <queryTableField id="6" name="room" tableColumnId="6"/>
      <queryTableField id="7" name="created_a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4B6AD171-FE9F-40D4-A020-A8E63555A215}" autoFormatId="16" applyNumberFormats="0" applyBorderFormats="0" applyFontFormats="0" applyPatternFormats="0" applyAlignmentFormats="0" applyWidthHeightFormats="0">
  <queryTableRefresh nextId="8">
    <queryTableFields count="7">
      <queryTableField id="1" name="id" tableColumnId="1"/>
      <queryTableField id="2" name="student_id" tableColumnId="2"/>
      <queryTableField id="3" name="quarter" tableColumnId="3"/>
      <queryTableField id="4" name="grade_type" tableColumnId="4"/>
      <queryTableField id="5" name="scores" tableColumnId="5"/>
      <queryTableField id="6" name="total_score" tableColumnId="6"/>
      <queryTableField id="7" name="created_a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2C4EF417-4D98-44FB-9356-73C050C0E72A}" autoFormatId="16" applyNumberFormats="0" applyBorderFormats="0" applyFontFormats="0" applyPatternFormats="0" applyAlignmentFormats="0" applyWidthHeightFormats="0">
  <queryTableRefresh nextId="11">
    <queryTableFields count="10">
      <queryTableField id="1" name="id" tableColumnId="1"/>
      <queryTableField id="2" name="student_id" tableColumnId="2"/>
      <queryTableField id="3" name="q1_grade" tableColumnId="3"/>
      <queryTableField id="4" name="q2_grade" tableColumnId="4"/>
      <queryTableField id="5" name="q3_grade" tableColumnId="5"/>
      <queryTableField id="6" name="q4_grade" tableColumnId="6"/>
      <queryTableField id="7" name="raw_final_grade" tableColumnId="7"/>
      <queryTableField id="8" name="rounded_final_grade" tableColumnId="8"/>
      <queryTableField id="9" name="remarks" tableColumnId="9"/>
      <queryTableField id="10" name="finalized_at"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37F61B45-5784-4FAA-A487-4C9EDE80C07E}" autoFormatId="16" applyNumberFormats="0" applyBorderFormats="0" applyFontFormats="0" applyPatternFormats="0" applyAlignmentFormats="0" applyWidthHeightFormats="0">
  <queryTableRefresh nextId="7">
    <queryTableFields count="6">
      <queryTableField id="1" name="id" tableColumnId="1"/>
      <queryTableField id="2" name="grade_level" tableColumnId="2"/>
      <queryTableField id="3" name="section" tableColumnId="3"/>
      <queryTableField id="4" name="subject" tableColumnId="4"/>
      <queryTableField id="5" name="subject_code" tableColumnId="5"/>
      <queryTableField id="6" name="created_a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15F50A0E-E88C-4A74-AB1B-A8CB92B28235}" autoFormatId="16" applyNumberFormats="0" applyBorderFormats="0" applyFontFormats="0" applyPatternFormats="0" applyAlignmentFormats="0" applyWidthHeightFormats="0">
  <queryTableRefresh nextId="9">
    <queryTableFields count="8">
      <queryTableField id="1" name="id" tableColumnId="1"/>
      <queryTableField id="2" name="class_id" tableColumnId="2"/>
      <queryTableField id="3" name="first_name" tableColumnId="3"/>
      <queryTableField id="4" name="last_name" tableColumnId="4"/>
      <queryTableField id="5" name="middle_name" tableColumnId="5"/>
      <queryTableField id="6" name="gender" tableColumnId="6"/>
      <queryTableField id="7" name="student_id" tableColumnId="7"/>
      <queryTableField id="8" name="created_a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07CE2EEF-0791-4250-81BB-14F2B7641F28}" autoFormatId="16" applyNumberFormats="0" applyBorderFormats="0" applyFontFormats="0" applyPatternFormats="0" applyAlignmentFormats="0" applyWidthHeightFormats="0">
  <queryTableRefresh nextId="6">
    <queryTableFields count="5">
      <queryTableField id="1" name="id" tableColumnId="1"/>
      <queryTableField id="2" name="class_id" tableColumnId="2"/>
      <queryTableField id="3" name="activity_date" tableColumnId="3"/>
      <queryTableField id="4" name="activity_text" tableColumnId="4"/>
      <queryTableField id="5" name="created_a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7428FCF0-55FC-4E99-899E-EC29E6BFF9A0}" autoFormatId="16" applyNumberFormats="0" applyBorderFormats="0" applyFontFormats="0" applyPatternFormats="0" applyAlignmentFormats="0" applyWidthHeightFormats="0">
  <queryTableRefresh nextId="7">
    <queryTableFields count="6">
      <queryTableField id="1" name="id" tableColumnId="1"/>
      <queryTableField id="2" name="student_id" tableColumnId="2"/>
      <queryTableField id="3" name="date" tableColumnId="3"/>
      <queryTableField id="4" name="status" tableColumnId="4"/>
      <queryTableField id="5" name="remarks" tableColumnId="5"/>
      <queryTableField id="6" name="created_a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F524F752-5B9A-4262-9803-01E1B4C5BDAD}" sourceName="grade_level">
  <pivotTables>
    <pivotTable tabId="16" name="PivotTable8"/>
  </pivotTables>
  <data>
    <tabular pivotCacheId="115776970">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7CFF4527-4207-45BB-B402-00C216B84E4C}" sourceName="subject">
  <pivotTables>
    <pivotTable tabId="16" name="PivotTable8"/>
  </pivotTables>
  <data>
    <tabular pivotCacheId="115776970">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A103082-D2BE-45D0-B2EE-E29DC8D3F34A}" sourceName="date">
  <pivotTables>
    <pivotTable tabId="11" name="PivotTable2"/>
  </pivotTables>
  <data>
    <tabular pivotCacheId="178828930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F61A42CA-EBB7-4711-BCBE-2B7C4CDF17FF}" sourceName="section">
  <pivotTables>
    <pivotTable tabId="16" name="PivotTable8"/>
  </pivotTables>
  <data>
    <tabular pivotCacheId="115776970">
      <items count="5">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_level" xr10:uid="{55261368-3091-407C-9878-86174A524714}" cache="Slicer_grade_level" caption="grade_level" rowHeight="241300"/>
  <slicer name="subject" xr10:uid="{1005F5B8-BFB8-4395-80AB-1B00CBC2F87F}" cache="Slicer_subject" caption="subject" rowHeight="241300"/>
  <slicer name="date 1" xr10:uid="{9FE97723-BBAE-4D69-AF88-29926D6032AF}" cache="Slicer_date" caption="date" rowHeight="241300"/>
  <slicer name="section" xr10:uid="{035C6D51-A75F-46AF-9FD6-917CF3FC2989}" cache="Slicer_section" caption="sec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4BEC119-5FC9-4232-A385-E95D0B3B94A3}" cache="Slicer_date" caption="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382EE8-3B1F-4054-8208-B9F54BDB71C7}" name="users" displayName="users" ref="A1:I161" tableType="queryTable" totalsRowShown="0">
  <autoFilter ref="A1:I161" xr:uid="{75382EE8-3B1F-4054-8208-B9F54BDB71C7}"/>
  <tableColumns count="9">
    <tableColumn id="1" xr3:uid="{FF1668B5-CE39-4A1C-A8D5-10F5D349FABF}" uniqueName="1" name="id" queryTableFieldId="1"/>
    <tableColumn id="2" xr3:uid="{FE961F5B-FA00-4ACA-BE18-877D1CBC6F92}" uniqueName="2" name="name" queryTableFieldId="2" dataDxfId="35"/>
    <tableColumn id="3" xr3:uid="{ADC578C5-A0A7-4B92-A26A-B987088818C6}" uniqueName="3" name="username" queryTableFieldId="3" dataDxfId="34"/>
    <tableColumn id="4" xr3:uid="{31553A95-ADC4-46E7-AC42-4C90DED4CDDF}" uniqueName="4" name="email" queryTableFieldId="4" dataDxfId="33"/>
    <tableColumn id="5" xr3:uid="{4363D1B3-7A6C-413A-B496-5D84B2C7BDF5}" uniqueName="5" name="password" queryTableFieldId="5" dataDxfId="32"/>
    <tableColumn id="6" xr3:uid="{573BE72C-DA99-4280-9966-8D29F3DBB1F2}" uniqueName="6" name="role" queryTableFieldId="6" dataDxfId="31"/>
    <tableColumn id="7" xr3:uid="{293478D2-6158-4829-85E4-838C2B406B6A}" uniqueName="7" name="student_profile_id" queryTableFieldId="7"/>
    <tableColumn id="8" xr3:uid="{90242E05-3620-4B17-8994-41F6BEE1FC38}" uniqueName="8" name="last_login_at" queryTableFieldId="8" dataDxfId="30"/>
    <tableColumn id="9" xr3:uid="{E172DA54-3274-4401-AD05-03A83CA0BDF4}" uniqueName="9" name="created_at" queryTableFieldId="9"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31F4BD-3B9C-4CB4-8F12-89D919F51E5D}" name="schedules" displayName="schedules" ref="A1:G6" tableType="queryTable" totalsRowShown="0">
  <autoFilter ref="A1:G6" xr:uid="{3031F4BD-3B9C-4CB4-8F12-89D919F51E5D}"/>
  <tableColumns count="7">
    <tableColumn id="1" xr3:uid="{00150355-187E-49E8-8BB1-4238C8541E6C}" uniqueName="1" name="id" queryTableFieldId="1"/>
    <tableColumn id="2" xr3:uid="{449D44E0-A033-4A36-84E9-5EEB968810EC}" uniqueName="2" name="class_id" queryTableFieldId="2"/>
    <tableColumn id="3" xr3:uid="{57DBC7D6-39CF-4695-B30F-41C47A922992}" uniqueName="3" name="day_of_week" queryTableFieldId="3" dataDxfId="28"/>
    <tableColumn id="4" xr3:uid="{CC9C17C5-CB63-4F65-A3BE-8AB18231F9E6}" uniqueName="4" name="start_time" queryTableFieldId="4" dataDxfId="27"/>
    <tableColumn id="5" xr3:uid="{D1CC7438-DC32-4CD2-B3AA-71D901E7AC63}" uniqueName="5" name="end_time" queryTableFieldId="5" dataDxfId="26"/>
    <tableColumn id="6" xr3:uid="{E6CD804B-2CE6-4A21-B1C2-81CCCC78202E}" uniqueName="6" name="room" queryTableFieldId="6" dataDxfId="25"/>
    <tableColumn id="7" xr3:uid="{8B179922-4BAF-4FF1-A3CC-91132781A9F7}" uniqueName="7" name="created_at" queryTableFieldId="7"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35DC76-360A-45DD-9460-33D3C9E8CCE8}" name="grades" displayName="grades" ref="A1:G26" tableType="queryTable" totalsRowShown="0">
  <autoFilter ref="A1:G26" xr:uid="{3C35DC76-360A-45DD-9460-33D3C9E8CCE8}"/>
  <tableColumns count="7">
    <tableColumn id="1" xr3:uid="{32EC611F-BD8B-4AF5-B189-8DF7DACD5B47}" uniqueName="1" name="id" queryTableFieldId="1"/>
    <tableColumn id="2" xr3:uid="{F705E175-5C85-4165-A695-39A2E30622A3}" uniqueName="2" name="student_id" queryTableFieldId="2"/>
    <tableColumn id="3" xr3:uid="{C13A0C0D-9A5A-42FF-A6E4-D056EF4E948F}" uniqueName="3" name="quarter" queryTableFieldId="3"/>
    <tableColumn id="4" xr3:uid="{A62155DF-6577-43EA-A1B3-0278DB3852BE}" uniqueName="4" name="grade_type" queryTableFieldId="4" dataDxfId="23"/>
    <tableColumn id="5" xr3:uid="{591DFB06-99FE-47FC-B876-C18AC055DC8B}" uniqueName="5" name="scores" queryTableFieldId="5" dataDxfId="22"/>
    <tableColumn id="6" xr3:uid="{B3C81358-4A07-4297-933B-105C80D22757}" uniqueName="6" name="total_score" queryTableFieldId="6" dataDxfId="21"/>
    <tableColumn id="7" xr3:uid="{9840F3B7-E4EA-4CEC-B663-EE369125BBC5}" uniqueName="7" name="created_at" queryTableFieldId="7"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155B12-2F6D-49B3-A168-E1E77CA878FC}" name="final_grades" displayName="final_grades" ref="A1:J3" tableType="queryTable" totalsRowShown="0">
  <autoFilter ref="A1:J3" xr:uid="{47155B12-2F6D-49B3-A168-E1E77CA878FC}"/>
  <tableColumns count="10">
    <tableColumn id="1" xr3:uid="{A8E5783D-88D7-4466-9EFC-78AC82869620}" uniqueName="1" name="id" queryTableFieldId="1"/>
    <tableColumn id="2" xr3:uid="{6234F956-0BFF-4060-835F-0F9F9E5AE4A4}" uniqueName="2" name="student_id" queryTableFieldId="2"/>
    <tableColumn id="3" xr3:uid="{A3422506-BFA7-4AC6-8D0B-3B5325C07FDB}" uniqueName="3" name="q1_grade" queryTableFieldId="3"/>
    <tableColumn id="4" xr3:uid="{3594EA4F-6704-491F-A4C1-E75F4C177BEB}" uniqueName="4" name="q2_grade" queryTableFieldId="4"/>
    <tableColumn id="5" xr3:uid="{B72ECDE9-E703-4308-BBA6-06AD0D948513}" uniqueName="5" name="q3_grade" queryTableFieldId="5"/>
    <tableColumn id="6" xr3:uid="{9F8E1E23-865C-4D80-98B2-EDB0C0079ADD}" uniqueName="6" name="q4_grade" queryTableFieldId="6"/>
    <tableColumn id="7" xr3:uid="{BF473665-B2F3-47F8-AF1B-114D5B1E46FC}" uniqueName="7" name="raw_final_grade" queryTableFieldId="7"/>
    <tableColumn id="8" xr3:uid="{6828541C-9CAC-416A-9B64-AA5B59E89339}" uniqueName="8" name="rounded_final_grade" queryTableFieldId="8"/>
    <tableColumn id="9" xr3:uid="{75CF0316-BC50-4F02-ACF1-9F54F8B47816}" uniqueName="9" name="remarks" queryTableFieldId="9" dataDxfId="12"/>
    <tableColumn id="10" xr3:uid="{2BD0BADB-4CC1-4582-B34E-1712221FDE32}" uniqueName="10" name="finalized_at" queryTableFieldId="10"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165383-4C57-4B88-8950-9DFCE14B36D9}" name="classes" displayName="classes" ref="A1:F6" tableType="queryTable" totalsRowShown="0">
  <autoFilter ref="A1:F6" xr:uid="{04165383-4C57-4B88-8950-9DFCE14B36D9}"/>
  <tableColumns count="6">
    <tableColumn id="1" xr3:uid="{3AADBCD0-7A07-47D9-B9C3-070319680B13}" uniqueName="1" name="id" queryTableFieldId="1"/>
    <tableColumn id="2" xr3:uid="{F388F6ED-9D0C-4422-BB8A-049740A80F63}" uniqueName="2" name="grade_level" queryTableFieldId="2" dataDxfId="10"/>
    <tableColumn id="3" xr3:uid="{51F286C7-86C0-49B8-8C2B-2A6872C86108}" uniqueName="3" name="section" queryTableFieldId="3" dataDxfId="9"/>
    <tableColumn id="4" xr3:uid="{6B5D34E7-4EC1-4C92-80DE-9B5613B4CEE6}" uniqueName="4" name="subject" queryTableFieldId="4" dataDxfId="8"/>
    <tableColumn id="5" xr3:uid="{E99C3173-4A94-4266-A62C-258C98B12355}" uniqueName="5" name="subject_code" queryTableFieldId="5" dataDxfId="7"/>
    <tableColumn id="6" xr3:uid="{198B0DFD-2B1F-4936-A31C-315AEFC8EE80}" uniqueName="6" name="created_at" queryTableFieldId="6"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638156-80CF-4EE9-B5D2-89A3CEAAD911}" name="class_students" displayName="class_students" ref="A1:H79" tableType="queryTable" totalsRowShown="0">
  <autoFilter ref="A1:H79" xr:uid="{DA638156-80CF-4EE9-B5D2-89A3CEAAD911}"/>
  <tableColumns count="8">
    <tableColumn id="1" xr3:uid="{19AD52E5-A06E-42E5-B517-8EE94721C8E6}" uniqueName="1" name="id" queryTableFieldId="1"/>
    <tableColumn id="2" xr3:uid="{A897A997-22F1-40E8-BD5C-AF78822037E7}" uniqueName="2" name="class_id" queryTableFieldId="2"/>
    <tableColumn id="3" xr3:uid="{68D1FC8B-19F7-4ADE-A37B-0CC1B00E6230}" uniqueName="3" name="first_name" queryTableFieldId="3" dataDxfId="5"/>
    <tableColumn id="4" xr3:uid="{F02DD64F-EF2C-48A4-BEFB-680E8D1C259D}" uniqueName="4" name="last_name" queryTableFieldId="4" dataDxfId="4"/>
    <tableColumn id="5" xr3:uid="{C5DC7DE0-6054-4BFA-81ED-AEB0C7E4CA99}" uniqueName="5" name="middle_name" queryTableFieldId="5" dataDxfId="3"/>
    <tableColumn id="6" xr3:uid="{AA77240D-F439-454A-97BE-C0817D7CE2E5}" uniqueName="6" name="gender" queryTableFieldId="6" dataDxfId="2"/>
    <tableColumn id="7" xr3:uid="{E2E948A2-9D69-4B9A-9165-E42FE1436ABA}" uniqueName="7" name="student_id" queryTableFieldId="7" dataDxfId="1"/>
    <tableColumn id="8" xr3:uid="{95223C38-442F-4E59-8F40-C997A5847169}" uniqueName="8" name="created_at" queryTableFieldId="8"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FEB013-186A-4866-91CF-843B85E02E0F}" name="class_activities" displayName="class_activities" ref="A1:E2" tableType="queryTable" totalsRowShown="0">
  <autoFilter ref="A1:E2" xr:uid="{6FFEB013-186A-4866-91CF-843B85E02E0F}"/>
  <tableColumns count="5">
    <tableColumn id="1" xr3:uid="{E82B6302-D132-45A3-973E-FAF0AD60AA2C}" uniqueName="1" name="id" queryTableFieldId="1"/>
    <tableColumn id="2" xr3:uid="{1C83C5A3-8C3D-483D-83FB-3812F3C657ED}" uniqueName="2" name="class_id" queryTableFieldId="2"/>
    <tableColumn id="3" xr3:uid="{859FB544-3BA0-4315-B6BF-DFF51D212103}" uniqueName="3" name="activity_date" queryTableFieldId="3" dataDxfId="19"/>
    <tableColumn id="4" xr3:uid="{907B2C99-DFDD-4E7B-B33D-16BDDD2CF19C}" uniqueName="4" name="activity_text" queryTableFieldId="4" dataDxfId="18"/>
    <tableColumn id="5" xr3:uid="{189CD0A6-A50E-41EF-B658-C20DAB65A2DB}" uniqueName="5" name="created_at" queryTableFieldId="5" dataDxf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578B36-8372-4595-9330-5516064C7D05}" name="attendance" displayName="attendance" ref="A1:F21" tableType="queryTable" totalsRowShown="0">
  <autoFilter ref="A1:F21" xr:uid="{F8578B36-8372-4595-9330-5516064C7D05}"/>
  <tableColumns count="6">
    <tableColumn id="1" xr3:uid="{3015B980-FC20-44C5-9604-4CD59A1DA2AB}" uniqueName="1" name="id" queryTableFieldId="1"/>
    <tableColumn id="2" xr3:uid="{38B31E4F-B230-4580-95DD-0435D1F178E1}" uniqueName="2" name="student_id" queryTableFieldId="2"/>
    <tableColumn id="3" xr3:uid="{580A5E09-0C28-40E5-A4E8-4AF21ACDC7DB}" uniqueName="3" name="date" queryTableFieldId="3" dataDxfId="16"/>
    <tableColumn id="4" xr3:uid="{DD69ADF2-3671-439A-827B-2EC3050474EF}" uniqueName="4" name="status" queryTableFieldId="4" dataDxfId="15"/>
    <tableColumn id="5" xr3:uid="{B3C44CD3-8E00-48AF-B179-B6A42CCABEE4}" uniqueName="5" name="remarks" queryTableFieldId="5" dataDxfId="14"/>
    <tableColumn id="6" xr3:uid="{A4E7475A-E666-4B57-890B-C49D6297AC1A}" uniqueName="6" name="created_at" queryTableFieldId="6" dataDxfId="1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CB64D62-A879-440D-A7D4-2F5A549FA43C}" name="Table9" displayName="Table9" ref="A3:F17" totalsRowShown="0">
  <autoFilter ref="A3:F17" xr:uid="{ECB64D62-A879-440D-A7D4-2F5A549FA43C}"/>
  <tableColumns count="6">
    <tableColumn id="1" xr3:uid="{FC7A5CF7-095A-486C-A586-7DF83967B81C}" name="id"/>
    <tableColumn id="2" xr3:uid="{46898388-9706-4E83-87B3-B5E8D6B3A771}" name="student_id"/>
    <tableColumn id="3" xr3:uid="{9A367C1A-9589-4245-90D0-AF06144E4FED}" name="date" dataDxfId="37"/>
    <tableColumn id="4" xr3:uid="{4D177C0A-51D7-4D24-B9AA-712155FF0EC8}" name="status"/>
    <tableColumn id="5" xr3:uid="{92BE0814-E32F-4117-93C3-2668F89B962B}" name="remarks"/>
    <tableColumn id="6" xr3:uid="{681D2F05-3EB5-44F8-BA18-EC6E734C14BA}" name="created_at"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C343-A10D-4141-B7C0-88B0381F985D}">
  <dimension ref="A1:I161"/>
  <sheetViews>
    <sheetView topLeftCell="A31" workbookViewId="0"/>
  </sheetViews>
  <sheetFormatPr defaultRowHeight="15" x14ac:dyDescent="0.25"/>
  <cols>
    <col min="1" max="1" width="5" bestFit="1" customWidth="1"/>
    <col min="2" max="2" width="20.42578125" bestFit="1" customWidth="1"/>
    <col min="3" max="4" width="28.7109375" bestFit="1" customWidth="1"/>
    <col min="5" max="5" width="71.85546875" bestFit="1" customWidth="1"/>
    <col min="6" max="6" width="7.85546875" bestFit="1" customWidth="1"/>
    <col min="7" max="7" width="20.140625" bestFit="1" customWidth="1"/>
    <col min="8" max="9" width="14.85546875" bestFit="1" customWidth="1"/>
  </cols>
  <sheetData>
    <row r="1" spans="1:9" x14ac:dyDescent="0.25">
      <c r="A1" t="s">
        <v>0</v>
      </c>
      <c r="B1" t="s">
        <v>223</v>
      </c>
      <c r="C1" t="s">
        <v>224</v>
      </c>
      <c r="D1" t="s">
        <v>225</v>
      </c>
      <c r="E1" t="s">
        <v>226</v>
      </c>
      <c r="F1" t="s">
        <v>227</v>
      </c>
      <c r="G1" t="s">
        <v>228</v>
      </c>
      <c r="H1" t="s">
        <v>229</v>
      </c>
      <c r="I1" t="s">
        <v>5</v>
      </c>
    </row>
    <row r="2" spans="1:9" x14ac:dyDescent="0.25">
      <c r="A2">
        <v>1</v>
      </c>
      <c r="B2" s="2" t="s">
        <v>230</v>
      </c>
      <c r="C2" s="2" t="s">
        <v>231</v>
      </c>
      <c r="D2" s="2"/>
      <c r="E2" s="2" t="s">
        <v>232</v>
      </c>
      <c r="F2" s="2" t="s">
        <v>231</v>
      </c>
      <c r="H2" s="3">
        <v>46069.819027777776</v>
      </c>
      <c r="I2" s="3">
        <v>46069.714861111112</v>
      </c>
    </row>
    <row r="3" spans="1:9" x14ac:dyDescent="0.25">
      <c r="A3">
        <v>21</v>
      </c>
      <c r="B3" s="2" t="s">
        <v>233</v>
      </c>
      <c r="C3" s="2" t="s">
        <v>234</v>
      </c>
      <c r="D3" s="2"/>
      <c r="E3" s="2" t="s">
        <v>232</v>
      </c>
      <c r="F3" s="2" t="s">
        <v>235</v>
      </c>
      <c r="H3" s="3"/>
      <c r="I3" s="3">
        <v>46069.749537037038</v>
      </c>
    </row>
    <row r="4" spans="1:9" x14ac:dyDescent="0.25">
      <c r="A4">
        <v>22</v>
      </c>
      <c r="B4" s="2" t="s">
        <v>236</v>
      </c>
      <c r="C4" s="2" t="s">
        <v>237</v>
      </c>
      <c r="D4" s="2"/>
      <c r="E4" s="2" t="s">
        <v>232</v>
      </c>
      <c r="F4" s="2" t="s">
        <v>235</v>
      </c>
      <c r="H4" s="3"/>
      <c r="I4" s="3">
        <v>46069.749537037038</v>
      </c>
    </row>
    <row r="5" spans="1:9" x14ac:dyDescent="0.25">
      <c r="A5">
        <v>23</v>
      </c>
      <c r="B5" s="2" t="s">
        <v>238</v>
      </c>
      <c r="C5" s="2" t="s">
        <v>239</v>
      </c>
      <c r="D5" s="2"/>
      <c r="E5" s="2" t="s">
        <v>232</v>
      </c>
      <c r="F5" s="2" t="s">
        <v>240</v>
      </c>
      <c r="G5">
        <v>1</v>
      </c>
      <c r="H5" s="3"/>
      <c r="I5" s="3">
        <v>46069.749537037038</v>
      </c>
    </row>
    <row r="6" spans="1:9" x14ac:dyDescent="0.25">
      <c r="A6">
        <v>24</v>
      </c>
      <c r="B6" s="2" t="s">
        <v>241</v>
      </c>
      <c r="C6" s="2" t="s">
        <v>242</v>
      </c>
      <c r="D6" s="2"/>
      <c r="E6" s="2" t="s">
        <v>232</v>
      </c>
      <c r="F6" s="2" t="s">
        <v>240</v>
      </c>
      <c r="G6">
        <v>2</v>
      </c>
      <c r="H6" s="3"/>
      <c r="I6" s="3">
        <v>46069.749537037038</v>
      </c>
    </row>
    <row r="7" spans="1:9" x14ac:dyDescent="0.25">
      <c r="A7">
        <v>32</v>
      </c>
      <c r="B7" s="2" t="s">
        <v>243</v>
      </c>
      <c r="C7" s="2" t="s">
        <v>244</v>
      </c>
      <c r="D7" s="2" t="s">
        <v>244</v>
      </c>
      <c r="E7" s="2" t="s">
        <v>245</v>
      </c>
      <c r="F7" s="2" t="s">
        <v>240</v>
      </c>
      <c r="G7">
        <v>1</v>
      </c>
      <c r="H7" s="3"/>
      <c r="I7" s="3">
        <v>46069.755208333336</v>
      </c>
    </row>
    <row r="8" spans="1:9" x14ac:dyDescent="0.25">
      <c r="A8">
        <v>33</v>
      </c>
      <c r="B8" s="2" t="s">
        <v>246</v>
      </c>
      <c r="C8" s="2" t="s">
        <v>247</v>
      </c>
      <c r="D8" s="2" t="s">
        <v>247</v>
      </c>
      <c r="E8" s="2" t="s">
        <v>248</v>
      </c>
      <c r="F8" s="2" t="s">
        <v>240</v>
      </c>
      <c r="G8">
        <v>2</v>
      </c>
      <c r="H8" s="3"/>
      <c r="I8" s="3">
        <v>46069.755208333336</v>
      </c>
    </row>
    <row r="9" spans="1:9" x14ac:dyDescent="0.25">
      <c r="A9">
        <v>34</v>
      </c>
      <c r="B9" s="2" t="s">
        <v>249</v>
      </c>
      <c r="C9" s="2" t="s">
        <v>250</v>
      </c>
      <c r="D9" s="2" t="s">
        <v>250</v>
      </c>
      <c r="E9" s="2" t="s">
        <v>251</v>
      </c>
      <c r="F9" s="2" t="s">
        <v>240</v>
      </c>
      <c r="G9">
        <v>3</v>
      </c>
      <c r="H9" s="3"/>
      <c r="I9" s="3">
        <v>46069.755208333336</v>
      </c>
    </row>
    <row r="10" spans="1:9" x14ac:dyDescent="0.25">
      <c r="A10">
        <v>35</v>
      </c>
      <c r="B10" s="2" t="s">
        <v>252</v>
      </c>
      <c r="C10" s="2" t="s">
        <v>253</v>
      </c>
      <c r="D10" s="2" t="s">
        <v>253</v>
      </c>
      <c r="E10" s="2" t="s">
        <v>254</v>
      </c>
      <c r="F10" s="2" t="s">
        <v>240</v>
      </c>
      <c r="G10">
        <v>4</v>
      </c>
      <c r="H10" s="3"/>
      <c r="I10" s="3">
        <v>46069.755208333336</v>
      </c>
    </row>
    <row r="11" spans="1:9" x14ac:dyDescent="0.25">
      <c r="A11">
        <v>36</v>
      </c>
      <c r="B11" s="2" t="s">
        <v>255</v>
      </c>
      <c r="C11" s="2" t="s">
        <v>256</v>
      </c>
      <c r="D11" s="2" t="s">
        <v>256</v>
      </c>
      <c r="E11" s="2" t="s">
        <v>257</v>
      </c>
      <c r="F11" s="2" t="s">
        <v>240</v>
      </c>
      <c r="G11">
        <v>5</v>
      </c>
      <c r="H11" s="3"/>
      <c r="I11" s="3">
        <v>46069.755208333336</v>
      </c>
    </row>
    <row r="12" spans="1:9" x14ac:dyDescent="0.25">
      <c r="A12">
        <v>37</v>
      </c>
      <c r="B12" s="2" t="s">
        <v>258</v>
      </c>
      <c r="C12" s="2" t="s">
        <v>259</v>
      </c>
      <c r="D12" s="2" t="s">
        <v>259</v>
      </c>
      <c r="E12" s="2" t="s">
        <v>260</v>
      </c>
      <c r="F12" s="2" t="s">
        <v>240</v>
      </c>
      <c r="G12">
        <v>6</v>
      </c>
      <c r="H12" s="3"/>
      <c r="I12" s="3">
        <v>46069.755208333336</v>
      </c>
    </row>
    <row r="13" spans="1:9" x14ac:dyDescent="0.25">
      <c r="A13">
        <v>38</v>
      </c>
      <c r="B13" s="2" t="s">
        <v>261</v>
      </c>
      <c r="C13" s="2" t="s">
        <v>262</v>
      </c>
      <c r="D13" s="2" t="s">
        <v>262</v>
      </c>
      <c r="E13" s="2" t="s">
        <v>263</v>
      </c>
      <c r="F13" s="2" t="s">
        <v>240</v>
      </c>
      <c r="G13">
        <v>7</v>
      </c>
      <c r="H13" s="3"/>
      <c r="I13" s="3">
        <v>46069.755208333336</v>
      </c>
    </row>
    <row r="14" spans="1:9" x14ac:dyDescent="0.25">
      <c r="A14">
        <v>39</v>
      </c>
      <c r="B14" s="2" t="s">
        <v>264</v>
      </c>
      <c r="C14" s="2" t="s">
        <v>265</v>
      </c>
      <c r="D14" s="2" t="s">
        <v>265</v>
      </c>
      <c r="E14" s="2" t="s">
        <v>266</v>
      </c>
      <c r="F14" s="2" t="s">
        <v>240</v>
      </c>
      <c r="G14">
        <v>8</v>
      </c>
      <c r="H14" s="3"/>
      <c r="I14" s="3">
        <v>46069.755208333336</v>
      </c>
    </row>
    <row r="15" spans="1:9" x14ac:dyDescent="0.25">
      <c r="A15">
        <v>40</v>
      </c>
      <c r="B15" s="2" t="s">
        <v>267</v>
      </c>
      <c r="C15" s="2" t="s">
        <v>268</v>
      </c>
      <c r="D15" s="2" t="s">
        <v>268</v>
      </c>
      <c r="E15" s="2" t="s">
        <v>269</v>
      </c>
      <c r="F15" s="2" t="s">
        <v>240</v>
      </c>
      <c r="G15">
        <v>9</v>
      </c>
      <c r="H15" s="3"/>
      <c r="I15" s="3">
        <v>46069.755208333336</v>
      </c>
    </row>
    <row r="16" spans="1:9" x14ac:dyDescent="0.25">
      <c r="A16">
        <v>41</v>
      </c>
      <c r="B16" s="2" t="s">
        <v>270</v>
      </c>
      <c r="C16" s="2" t="s">
        <v>271</v>
      </c>
      <c r="D16" s="2" t="s">
        <v>271</v>
      </c>
      <c r="E16" s="2" t="s">
        <v>272</v>
      </c>
      <c r="F16" s="2" t="s">
        <v>240</v>
      </c>
      <c r="G16">
        <v>10</v>
      </c>
      <c r="H16" s="3"/>
      <c r="I16" s="3">
        <v>46069.755208333336</v>
      </c>
    </row>
    <row r="17" spans="1:9" x14ac:dyDescent="0.25">
      <c r="A17">
        <v>42</v>
      </c>
      <c r="B17" s="2" t="s">
        <v>273</v>
      </c>
      <c r="C17" s="2" t="s">
        <v>274</v>
      </c>
      <c r="D17" s="2" t="s">
        <v>274</v>
      </c>
      <c r="E17" s="2" t="s">
        <v>275</v>
      </c>
      <c r="F17" s="2" t="s">
        <v>240</v>
      </c>
      <c r="G17">
        <v>11</v>
      </c>
      <c r="H17" s="3"/>
      <c r="I17" s="3">
        <v>46069.755208333336</v>
      </c>
    </row>
    <row r="18" spans="1:9" x14ac:dyDescent="0.25">
      <c r="A18">
        <v>43</v>
      </c>
      <c r="B18" s="2" t="s">
        <v>276</v>
      </c>
      <c r="C18" s="2" t="s">
        <v>277</v>
      </c>
      <c r="D18" s="2" t="s">
        <v>277</v>
      </c>
      <c r="E18" s="2" t="s">
        <v>278</v>
      </c>
      <c r="F18" s="2" t="s">
        <v>240</v>
      </c>
      <c r="G18">
        <v>12</v>
      </c>
      <c r="H18" s="3"/>
      <c r="I18" s="3">
        <v>46069.755208333336</v>
      </c>
    </row>
    <row r="19" spans="1:9" x14ac:dyDescent="0.25">
      <c r="A19">
        <v>44</v>
      </c>
      <c r="B19" s="2" t="s">
        <v>279</v>
      </c>
      <c r="C19" s="2" t="s">
        <v>280</v>
      </c>
      <c r="D19" s="2" t="s">
        <v>280</v>
      </c>
      <c r="E19" s="2" t="s">
        <v>281</v>
      </c>
      <c r="F19" s="2" t="s">
        <v>240</v>
      </c>
      <c r="G19">
        <v>13</v>
      </c>
      <c r="H19" s="3"/>
      <c r="I19" s="3">
        <v>46069.755208333336</v>
      </c>
    </row>
    <row r="20" spans="1:9" x14ac:dyDescent="0.25">
      <c r="A20">
        <v>45</v>
      </c>
      <c r="B20" s="2" t="s">
        <v>282</v>
      </c>
      <c r="C20" s="2" t="s">
        <v>283</v>
      </c>
      <c r="D20" s="2" t="s">
        <v>283</v>
      </c>
      <c r="E20" s="2" t="s">
        <v>284</v>
      </c>
      <c r="F20" s="2" t="s">
        <v>240</v>
      </c>
      <c r="G20">
        <v>14</v>
      </c>
      <c r="H20" s="3"/>
      <c r="I20" s="3">
        <v>46069.755208333336</v>
      </c>
    </row>
    <row r="21" spans="1:9" x14ac:dyDescent="0.25">
      <c r="A21">
        <v>46</v>
      </c>
      <c r="B21" s="2" t="s">
        <v>285</v>
      </c>
      <c r="C21" s="2" t="s">
        <v>286</v>
      </c>
      <c r="D21" s="2" t="s">
        <v>286</v>
      </c>
      <c r="E21" s="2" t="s">
        <v>287</v>
      </c>
      <c r="F21" s="2" t="s">
        <v>240</v>
      </c>
      <c r="G21">
        <v>15</v>
      </c>
      <c r="H21" s="3"/>
      <c r="I21" s="3">
        <v>46069.755208333336</v>
      </c>
    </row>
    <row r="22" spans="1:9" x14ac:dyDescent="0.25">
      <c r="A22">
        <v>47</v>
      </c>
      <c r="B22" s="2" t="s">
        <v>288</v>
      </c>
      <c r="C22" s="2" t="s">
        <v>289</v>
      </c>
      <c r="D22" s="2" t="s">
        <v>289</v>
      </c>
      <c r="E22" s="2" t="s">
        <v>290</v>
      </c>
      <c r="F22" s="2" t="s">
        <v>240</v>
      </c>
      <c r="G22">
        <v>16</v>
      </c>
      <c r="H22" s="3"/>
      <c r="I22" s="3">
        <v>46069.755208333336</v>
      </c>
    </row>
    <row r="23" spans="1:9" x14ac:dyDescent="0.25">
      <c r="A23">
        <v>48</v>
      </c>
      <c r="B23" s="2" t="s">
        <v>291</v>
      </c>
      <c r="C23" s="2" t="s">
        <v>292</v>
      </c>
      <c r="D23" s="2" t="s">
        <v>292</v>
      </c>
      <c r="E23" s="2" t="s">
        <v>293</v>
      </c>
      <c r="F23" s="2" t="s">
        <v>240</v>
      </c>
      <c r="G23">
        <v>17</v>
      </c>
      <c r="H23" s="3"/>
      <c r="I23" s="3">
        <v>46069.755208333336</v>
      </c>
    </row>
    <row r="24" spans="1:9" x14ac:dyDescent="0.25">
      <c r="A24">
        <v>49</v>
      </c>
      <c r="B24" s="2" t="s">
        <v>294</v>
      </c>
      <c r="C24" s="2" t="s">
        <v>295</v>
      </c>
      <c r="D24" s="2" t="s">
        <v>295</v>
      </c>
      <c r="E24" s="2" t="s">
        <v>296</v>
      </c>
      <c r="F24" s="2" t="s">
        <v>240</v>
      </c>
      <c r="G24">
        <v>18</v>
      </c>
      <c r="H24" s="3"/>
      <c r="I24" s="3">
        <v>46069.755208333336</v>
      </c>
    </row>
    <row r="25" spans="1:9" x14ac:dyDescent="0.25">
      <c r="A25">
        <v>50</v>
      </c>
      <c r="B25" s="2" t="s">
        <v>297</v>
      </c>
      <c r="C25" s="2" t="s">
        <v>298</v>
      </c>
      <c r="D25" s="2" t="s">
        <v>298</v>
      </c>
      <c r="E25" s="2" t="s">
        <v>299</v>
      </c>
      <c r="F25" s="2" t="s">
        <v>240</v>
      </c>
      <c r="G25">
        <v>19</v>
      </c>
      <c r="H25" s="3"/>
      <c r="I25" s="3">
        <v>46069.755219907405</v>
      </c>
    </row>
    <row r="26" spans="1:9" x14ac:dyDescent="0.25">
      <c r="A26">
        <v>51</v>
      </c>
      <c r="B26" s="2" t="s">
        <v>300</v>
      </c>
      <c r="C26" s="2" t="s">
        <v>301</v>
      </c>
      <c r="D26" s="2" t="s">
        <v>301</v>
      </c>
      <c r="E26" s="2" t="s">
        <v>302</v>
      </c>
      <c r="F26" s="2" t="s">
        <v>240</v>
      </c>
      <c r="G26">
        <v>20</v>
      </c>
      <c r="H26" s="3"/>
      <c r="I26" s="3">
        <v>46069.755219907405</v>
      </c>
    </row>
    <row r="27" spans="1:9" x14ac:dyDescent="0.25">
      <c r="A27">
        <v>52</v>
      </c>
      <c r="B27" s="2" t="s">
        <v>303</v>
      </c>
      <c r="C27" s="2" t="s">
        <v>304</v>
      </c>
      <c r="D27" s="2" t="s">
        <v>304</v>
      </c>
      <c r="E27" s="2" t="s">
        <v>305</v>
      </c>
      <c r="F27" s="2" t="s">
        <v>240</v>
      </c>
      <c r="G27">
        <v>21</v>
      </c>
      <c r="H27" s="3"/>
      <c r="I27" s="3">
        <v>46069.755219907405</v>
      </c>
    </row>
    <row r="28" spans="1:9" x14ac:dyDescent="0.25">
      <c r="A28">
        <v>53</v>
      </c>
      <c r="B28" s="2" t="s">
        <v>306</v>
      </c>
      <c r="C28" s="2" t="s">
        <v>307</v>
      </c>
      <c r="D28" s="2" t="s">
        <v>307</v>
      </c>
      <c r="E28" s="2" t="s">
        <v>308</v>
      </c>
      <c r="F28" s="2" t="s">
        <v>240</v>
      </c>
      <c r="G28">
        <v>22</v>
      </c>
      <c r="H28" s="3"/>
      <c r="I28" s="3">
        <v>46069.755219907405</v>
      </c>
    </row>
    <row r="29" spans="1:9" x14ac:dyDescent="0.25">
      <c r="A29">
        <v>54</v>
      </c>
      <c r="B29" s="2" t="s">
        <v>309</v>
      </c>
      <c r="C29" s="2" t="s">
        <v>310</v>
      </c>
      <c r="D29" s="2" t="s">
        <v>310</v>
      </c>
      <c r="E29" s="2" t="s">
        <v>311</v>
      </c>
      <c r="F29" s="2" t="s">
        <v>240</v>
      </c>
      <c r="G29">
        <v>23</v>
      </c>
      <c r="H29" s="3"/>
      <c r="I29" s="3">
        <v>46069.755219907405</v>
      </c>
    </row>
    <row r="30" spans="1:9" x14ac:dyDescent="0.25">
      <c r="A30">
        <v>55</v>
      </c>
      <c r="B30" s="2" t="s">
        <v>312</v>
      </c>
      <c r="C30" s="2" t="s">
        <v>313</v>
      </c>
      <c r="D30" s="2" t="s">
        <v>313</v>
      </c>
      <c r="E30" s="2" t="s">
        <v>314</v>
      </c>
      <c r="F30" s="2" t="s">
        <v>240</v>
      </c>
      <c r="G30">
        <v>24</v>
      </c>
      <c r="H30" s="3"/>
      <c r="I30" s="3">
        <v>46069.755219907405</v>
      </c>
    </row>
    <row r="31" spans="1:9" x14ac:dyDescent="0.25">
      <c r="A31">
        <v>56</v>
      </c>
      <c r="B31" s="2" t="s">
        <v>315</v>
      </c>
      <c r="C31" s="2" t="s">
        <v>316</v>
      </c>
      <c r="D31" s="2" t="s">
        <v>316</v>
      </c>
      <c r="E31" s="2" t="s">
        <v>317</v>
      </c>
      <c r="F31" s="2" t="s">
        <v>240</v>
      </c>
      <c r="G31">
        <v>25</v>
      </c>
      <c r="H31" s="3"/>
      <c r="I31" s="3">
        <v>46069.755219907405</v>
      </c>
    </row>
    <row r="32" spans="1:9" x14ac:dyDescent="0.25">
      <c r="A32">
        <v>57</v>
      </c>
      <c r="B32" s="2" t="s">
        <v>318</v>
      </c>
      <c r="C32" s="2" t="s">
        <v>319</v>
      </c>
      <c r="D32" s="2" t="s">
        <v>319</v>
      </c>
      <c r="E32" s="2" t="s">
        <v>320</v>
      </c>
      <c r="F32" s="2" t="s">
        <v>240</v>
      </c>
      <c r="G32">
        <v>26</v>
      </c>
      <c r="H32" s="3"/>
      <c r="I32" s="3">
        <v>46069.755219907405</v>
      </c>
    </row>
    <row r="33" spans="1:9" x14ac:dyDescent="0.25">
      <c r="A33">
        <v>58</v>
      </c>
      <c r="B33" s="2" t="s">
        <v>321</v>
      </c>
      <c r="C33" s="2" t="s">
        <v>322</v>
      </c>
      <c r="D33" s="2" t="s">
        <v>322</v>
      </c>
      <c r="E33" s="2" t="s">
        <v>323</v>
      </c>
      <c r="F33" s="2" t="s">
        <v>240</v>
      </c>
      <c r="G33">
        <v>27</v>
      </c>
      <c r="H33" s="3"/>
      <c r="I33" s="3">
        <v>46069.755219907405</v>
      </c>
    </row>
    <row r="34" spans="1:9" x14ac:dyDescent="0.25">
      <c r="A34">
        <v>59</v>
      </c>
      <c r="B34" s="2" t="s">
        <v>324</v>
      </c>
      <c r="C34" s="2" t="s">
        <v>325</v>
      </c>
      <c r="D34" s="2" t="s">
        <v>325</v>
      </c>
      <c r="E34" s="2" t="s">
        <v>326</v>
      </c>
      <c r="F34" s="2" t="s">
        <v>240</v>
      </c>
      <c r="G34">
        <v>28</v>
      </c>
      <c r="H34" s="3"/>
      <c r="I34" s="3">
        <v>46069.755219907405</v>
      </c>
    </row>
    <row r="35" spans="1:9" x14ac:dyDescent="0.25">
      <c r="A35">
        <v>60</v>
      </c>
      <c r="B35" s="2" t="s">
        <v>327</v>
      </c>
      <c r="C35" s="2" t="s">
        <v>328</v>
      </c>
      <c r="D35" s="2" t="s">
        <v>328</v>
      </c>
      <c r="E35" s="2" t="s">
        <v>329</v>
      </c>
      <c r="F35" s="2" t="s">
        <v>240</v>
      </c>
      <c r="G35">
        <v>29</v>
      </c>
      <c r="H35" s="3"/>
      <c r="I35" s="3">
        <v>46069.755219907405</v>
      </c>
    </row>
    <row r="36" spans="1:9" x14ac:dyDescent="0.25">
      <c r="A36">
        <v>61</v>
      </c>
      <c r="B36" s="2" t="s">
        <v>330</v>
      </c>
      <c r="C36" s="2" t="s">
        <v>331</v>
      </c>
      <c r="D36" s="2" t="s">
        <v>331</v>
      </c>
      <c r="E36" s="2" t="s">
        <v>332</v>
      </c>
      <c r="F36" s="2" t="s">
        <v>240</v>
      </c>
      <c r="G36">
        <v>30</v>
      </c>
      <c r="H36" s="3"/>
      <c r="I36" s="3">
        <v>46069.755219907405</v>
      </c>
    </row>
    <row r="37" spans="1:9" x14ac:dyDescent="0.25">
      <c r="A37">
        <v>62</v>
      </c>
      <c r="B37" s="2" t="s">
        <v>333</v>
      </c>
      <c r="C37" s="2" t="s">
        <v>334</v>
      </c>
      <c r="D37" s="2" t="s">
        <v>334</v>
      </c>
      <c r="E37" s="2" t="s">
        <v>335</v>
      </c>
      <c r="F37" s="2" t="s">
        <v>240</v>
      </c>
      <c r="G37">
        <v>31</v>
      </c>
      <c r="H37" s="3"/>
      <c r="I37" s="3">
        <v>46069.755219907405</v>
      </c>
    </row>
    <row r="38" spans="1:9" x14ac:dyDescent="0.25">
      <c r="A38">
        <v>63</v>
      </c>
      <c r="B38" s="2" t="s">
        <v>336</v>
      </c>
      <c r="C38" s="2" t="s">
        <v>337</v>
      </c>
      <c r="D38" s="2" t="s">
        <v>337</v>
      </c>
      <c r="E38" s="2" t="s">
        <v>338</v>
      </c>
      <c r="F38" s="2" t="s">
        <v>240</v>
      </c>
      <c r="G38">
        <v>32</v>
      </c>
      <c r="H38" s="3"/>
      <c r="I38" s="3">
        <v>46069.755219907405</v>
      </c>
    </row>
    <row r="39" spans="1:9" x14ac:dyDescent="0.25">
      <c r="A39">
        <v>64</v>
      </c>
      <c r="B39" s="2" t="s">
        <v>264</v>
      </c>
      <c r="C39" s="2" t="s">
        <v>339</v>
      </c>
      <c r="D39" s="2" t="s">
        <v>339</v>
      </c>
      <c r="E39" s="2" t="s">
        <v>340</v>
      </c>
      <c r="F39" s="2" t="s">
        <v>240</v>
      </c>
      <c r="G39">
        <v>33</v>
      </c>
      <c r="H39" s="3"/>
      <c r="I39" s="3">
        <v>46069.755219907405</v>
      </c>
    </row>
    <row r="40" spans="1:9" x14ac:dyDescent="0.25">
      <c r="A40">
        <v>65</v>
      </c>
      <c r="B40" s="2" t="s">
        <v>341</v>
      </c>
      <c r="C40" s="2" t="s">
        <v>342</v>
      </c>
      <c r="D40" s="2" t="s">
        <v>342</v>
      </c>
      <c r="E40" s="2" t="s">
        <v>343</v>
      </c>
      <c r="F40" s="2" t="s">
        <v>240</v>
      </c>
      <c r="G40">
        <v>34</v>
      </c>
      <c r="H40" s="3"/>
      <c r="I40" s="3">
        <v>46069.755219907405</v>
      </c>
    </row>
    <row r="41" spans="1:9" x14ac:dyDescent="0.25">
      <c r="A41">
        <v>66</v>
      </c>
      <c r="B41" s="2" t="s">
        <v>344</v>
      </c>
      <c r="C41" s="2" t="s">
        <v>345</v>
      </c>
      <c r="D41" s="2" t="s">
        <v>345</v>
      </c>
      <c r="E41" s="2" t="s">
        <v>346</v>
      </c>
      <c r="F41" s="2" t="s">
        <v>240</v>
      </c>
      <c r="G41">
        <v>35</v>
      </c>
      <c r="H41" s="3"/>
      <c r="I41" s="3">
        <v>46069.755219907405</v>
      </c>
    </row>
    <row r="42" spans="1:9" x14ac:dyDescent="0.25">
      <c r="A42">
        <v>67</v>
      </c>
      <c r="B42" s="2" t="s">
        <v>347</v>
      </c>
      <c r="C42" s="2" t="s">
        <v>348</v>
      </c>
      <c r="D42" s="2" t="s">
        <v>348</v>
      </c>
      <c r="E42" s="2" t="s">
        <v>349</v>
      </c>
      <c r="F42" s="2" t="s">
        <v>240</v>
      </c>
      <c r="G42">
        <v>36</v>
      </c>
      <c r="H42" s="3"/>
      <c r="I42" s="3">
        <v>46069.755219907405</v>
      </c>
    </row>
    <row r="43" spans="1:9" x14ac:dyDescent="0.25">
      <c r="A43">
        <v>68</v>
      </c>
      <c r="B43" s="2" t="s">
        <v>350</v>
      </c>
      <c r="C43" s="2" t="s">
        <v>351</v>
      </c>
      <c r="D43" s="2" t="s">
        <v>351</v>
      </c>
      <c r="E43" s="2" t="s">
        <v>352</v>
      </c>
      <c r="F43" s="2" t="s">
        <v>240</v>
      </c>
      <c r="G43">
        <v>37</v>
      </c>
      <c r="H43" s="3"/>
      <c r="I43" s="3">
        <v>46069.755219907405</v>
      </c>
    </row>
    <row r="44" spans="1:9" x14ac:dyDescent="0.25">
      <c r="A44">
        <v>69</v>
      </c>
      <c r="B44" s="2" t="s">
        <v>353</v>
      </c>
      <c r="C44" s="2" t="s">
        <v>354</v>
      </c>
      <c r="D44" s="2" t="s">
        <v>354</v>
      </c>
      <c r="E44" s="2" t="s">
        <v>355</v>
      </c>
      <c r="F44" s="2" t="s">
        <v>240</v>
      </c>
      <c r="G44">
        <v>38</v>
      </c>
      <c r="H44" s="3"/>
      <c r="I44" s="3">
        <v>46069.755219907405</v>
      </c>
    </row>
    <row r="45" spans="1:9" x14ac:dyDescent="0.25">
      <c r="A45">
        <v>70</v>
      </c>
      <c r="B45" s="2" t="s">
        <v>356</v>
      </c>
      <c r="C45" s="2" t="s">
        <v>357</v>
      </c>
      <c r="D45" s="2" t="s">
        <v>357</v>
      </c>
      <c r="E45" s="2" t="s">
        <v>358</v>
      </c>
      <c r="F45" s="2" t="s">
        <v>240</v>
      </c>
      <c r="G45">
        <v>39</v>
      </c>
      <c r="H45" s="3"/>
      <c r="I45" s="3">
        <v>46069.755231481482</v>
      </c>
    </row>
    <row r="46" spans="1:9" x14ac:dyDescent="0.25">
      <c r="A46">
        <v>71</v>
      </c>
      <c r="B46" s="2" t="s">
        <v>258</v>
      </c>
      <c r="C46" s="2" t="s">
        <v>359</v>
      </c>
      <c r="D46" s="2" t="s">
        <v>359</v>
      </c>
      <c r="E46" s="2" t="s">
        <v>360</v>
      </c>
      <c r="F46" s="2" t="s">
        <v>240</v>
      </c>
      <c r="G46">
        <v>40</v>
      </c>
      <c r="H46" s="3"/>
      <c r="I46" s="3">
        <v>46069.755231481482</v>
      </c>
    </row>
    <row r="47" spans="1:9" x14ac:dyDescent="0.25">
      <c r="A47">
        <v>72</v>
      </c>
      <c r="B47" s="2" t="s">
        <v>361</v>
      </c>
      <c r="C47" s="2" t="s">
        <v>362</v>
      </c>
      <c r="D47" s="2" t="s">
        <v>362</v>
      </c>
      <c r="E47" s="2" t="s">
        <v>363</v>
      </c>
      <c r="F47" s="2" t="s">
        <v>240</v>
      </c>
      <c r="G47">
        <v>41</v>
      </c>
      <c r="H47" s="3"/>
      <c r="I47" s="3">
        <v>46069.755231481482</v>
      </c>
    </row>
    <row r="48" spans="1:9" x14ac:dyDescent="0.25">
      <c r="A48">
        <v>73</v>
      </c>
      <c r="B48" s="2" t="s">
        <v>364</v>
      </c>
      <c r="C48" s="2" t="s">
        <v>365</v>
      </c>
      <c r="D48" s="2" t="s">
        <v>365</v>
      </c>
      <c r="E48" s="2" t="s">
        <v>366</v>
      </c>
      <c r="F48" s="2" t="s">
        <v>240</v>
      </c>
      <c r="G48">
        <v>42</v>
      </c>
      <c r="H48" s="3"/>
      <c r="I48" s="3">
        <v>46069.755231481482</v>
      </c>
    </row>
    <row r="49" spans="1:9" x14ac:dyDescent="0.25">
      <c r="A49">
        <v>74</v>
      </c>
      <c r="B49" s="2" t="s">
        <v>367</v>
      </c>
      <c r="C49" s="2" t="s">
        <v>368</v>
      </c>
      <c r="D49" s="2" t="s">
        <v>368</v>
      </c>
      <c r="E49" s="2" t="s">
        <v>369</v>
      </c>
      <c r="F49" s="2" t="s">
        <v>240</v>
      </c>
      <c r="G49">
        <v>43</v>
      </c>
      <c r="H49" s="3"/>
      <c r="I49" s="3">
        <v>46069.755231481482</v>
      </c>
    </row>
    <row r="50" spans="1:9" x14ac:dyDescent="0.25">
      <c r="A50">
        <v>75</v>
      </c>
      <c r="B50" s="2" t="s">
        <v>367</v>
      </c>
      <c r="C50" s="2" t="s">
        <v>370</v>
      </c>
      <c r="D50" s="2" t="s">
        <v>370</v>
      </c>
      <c r="E50" s="2" t="s">
        <v>371</v>
      </c>
      <c r="F50" s="2" t="s">
        <v>240</v>
      </c>
      <c r="G50">
        <v>44</v>
      </c>
      <c r="H50" s="3"/>
      <c r="I50" s="3">
        <v>46069.755231481482</v>
      </c>
    </row>
    <row r="51" spans="1:9" x14ac:dyDescent="0.25">
      <c r="A51">
        <v>76</v>
      </c>
      <c r="B51" s="2" t="s">
        <v>372</v>
      </c>
      <c r="C51" s="2" t="s">
        <v>373</v>
      </c>
      <c r="D51" s="2" t="s">
        <v>373</v>
      </c>
      <c r="E51" s="2" t="s">
        <v>374</v>
      </c>
      <c r="F51" s="2" t="s">
        <v>240</v>
      </c>
      <c r="G51">
        <v>45</v>
      </c>
      <c r="H51" s="3"/>
      <c r="I51" s="3">
        <v>46069.755231481482</v>
      </c>
    </row>
    <row r="52" spans="1:9" x14ac:dyDescent="0.25">
      <c r="A52">
        <v>77</v>
      </c>
      <c r="B52" s="2" t="s">
        <v>375</v>
      </c>
      <c r="C52" s="2" t="s">
        <v>376</v>
      </c>
      <c r="D52" s="2" t="s">
        <v>376</v>
      </c>
      <c r="E52" s="2" t="s">
        <v>377</v>
      </c>
      <c r="F52" s="2" t="s">
        <v>240</v>
      </c>
      <c r="G52">
        <v>46</v>
      </c>
      <c r="H52" s="3"/>
      <c r="I52" s="3">
        <v>46069.755231481482</v>
      </c>
    </row>
    <row r="53" spans="1:9" x14ac:dyDescent="0.25">
      <c r="A53">
        <v>78</v>
      </c>
      <c r="B53" s="2" t="s">
        <v>378</v>
      </c>
      <c r="C53" s="2" t="s">
        <v>379</v>
      </c>
      <c r="D53" s="2" t="s">
        <v>379</v>
      </c>
      <c r="E53" s="2" t="s">
        <v>380</v>
      </c>
      <c r="F53" s="2" t="s">
        <v>240</v>
      </c>
      <c r="G53">
        <v>47</v>
      </c>
      <c r="H53" s="3"/>
      <c r="I53" s="3">
        <v>46069.755231481482</v>
      </c>
    </row>
    <row r="54" spans="1:9" x14ac:dyDescent="0.25">
      <c r="A54">
        <v>79</v>
      </c>
      <c r="B54" s="2" t="s">
        <v>381</v>
      </c>
      <c r="C54" s="2" t="s">
        <v>382</v>
      </c>
      <c r="D54" s="2" t="s">
        <v>382</v>
      </c>
      <c r="E54" s="2" t="s">
        <v>383</v>
      </c>
      <c r="F54" s="2" t="s">
        <v>240</v>
      </c>
      <c r="G54">
        <v>48</v>
      </c>
      <c r="H54" s="3"/>
      <c r="I54" s="3">
        <v>46069.755231481482</v>
      </c>
    </row>
    <row r="55" spans="1:9" x14ac:dyDescent="0.25">
      <c r="A55">
        <v>80</v>
      </c>
      <c r="B55" s="2" t="s">
        <v>356</v>
      </c>
      <c r="C55" s="2" t="s">
        <v>384</v>
      </c>
      <c r="D55" s="2" t="s">
        <v>384</v>
      </c>
      <c r="E55" s="2" t="s">
        <v>385</v>
      </c>
      <c r="F55" s="2" t="s">
        <v>240</v>
      </c>
      <c r="G55">
        <v>49</v>
      </c>
      <c r="H55" s="3"/>
      <c r="I55" s="3">
        <v>46069.755231481482</v>
      </c>
    </row>
    <row r="56" spans="1:9" x14ac:dyDescent="0.25">
      <c r="A56">
        <v>81</v>
      </c>
      <c r="B56" s="2" t="s">
        <v>386</v>
      </c>
      <c r="C56" s="2" t="s">
        <v>387</v>
      </c>
      <c r="D56" s="2" t="s">
        <v>387</v>
      </c>
      <c r="E56" s="2" t="s">
        <v>388</v>
      </c>
      <c r="F56" s="2" t="s">
        <v>240</v>
      </c>
      <c r="G56">
        <v>50</v>
      </c>
      <c r="H56" s="3"/>
      <c r="I56" s="3">
        <v>46069.755231481482</v>
      </c>
    </row>
    <row r="57" spans="1:9" x14ac:dyDescent="0.25">
      <c r="A57">
        <v>82</v>
      </c>
      <c r="B57" s="2" t="s">
        <v>356</v>
      </c>
      <c r="C57" s="2" t="s">
        <v>389</v>
      </c>
      <c r="D57" s="2" t="s">
        <v>389</v>
      </c>
      <c r="E57" s="2" t="s">
        <v>390</v>
      </c>
      <c r="F57" s="2" t="s">
        <v>240</v>
      </c>
      <c r="G57">
        <v>51</v>
      </c>
      <c r="H57" s="3"/>
      <c r="I57" s="3">
        <v>46069.755231481482</v>
      </c>
    </row>
    <row r="58" spans="1:9" x14ac:dyDescent="0.25">
      <c r="A58">
        <v>83</v>
      </c>
      <c r="B58" s="2" t="s">
        <v>391</v>
      </c>
      <c r="C58" s="2" t="s">
        <v>392</v>
      </c>
      <c r="D58" s="2" t="s">
        <v>392</v>
      </c>
      <c r="E58" s="2" t="s">
        <v>393</v>
      </c>
      <c r="F58" s="2" t="s">
        <v>240</v>
      </c>
      <c r="G58">
        <v>52</v>
      </c>
      <c r="H58" s="3"/>
      <c r="I58" s="3">
        <v>46069.755231481482</v>
      </c>
    </row>
    <row r="59" spans="1:9" x14ac:dyDescent="0.25">
      <c r="A59">
        <v>84</v>
      </c>
      <c r="B59" s="2" t="s">
        <v>344</v>
      </c>
      <c r="C59" s="2" t="s">
        <v>394</v>
      </c>
      <c r="D59" s="2" t="s">
        <v>394</v>
      </c>
      <c r="E59" s="2" t="s">
        <v>395</v>
      </c>
      <c r="F59" s="2" t="s">
        <v>240</v>
      </c>
      <c r="G59">
        <v>53</v>
      </c>
      <c r="H59" s="3">
        <v>46069.771782407406</v>
      </c>
      <c r="I59" s="3">
        <v>46069.755231481482</v>
      </c>
    </row>
    <row r="60" spans="1:9" x14ac:dyDescent="0.25">
      <c r="A60">
        <v>85</v>
      </c>
      <c r="B60" s="2" t="s">
        <v>396</v>
      </c>
      <c r="C60" s="2" t="s">
        <v>397</v>
      </c>
      <c r="D60" s="2" t="s">
        <v>397</v>
      </c>
      <c r="E60" s="2" t="s">
        <v>398</v>
      </c>
      <c r="F60" s="2" t="s">
        <v>240</v>
      </c>
      <c r="G60">
        <v>54</v>
      </c>
      <c r="H60" s="3"/>
      <c r="I60" s="3">
        <v>46069.755231481482</v>
      </c>
    </row>
    <row r="61" spans="1:9" x14ac:dyDescent="0.25">
      <c r="A61">
        <v>86</v>
      </c>
      <c r="B61" s="2" t="s">
        <v>273</v>
      </c>
      <c r="C61" s="2" t="s">
        <v>399</v>
      </c>
      <c r="D61" s="2" t="s">
        <v>399</v>
      </c>
      <c r="E61" s="2" t="s">
        <v>400</v>
      </c>
      <c r="F61" s="2" t="s">
        <v>240</v>
      </c>
      <c r="G61">
        <v>55</v>
      </c>
      <c r="H61" s="3"/>
      <c r="I61" s="3">
        <v>46069.755231481482</v>
      </c>
    </row>
    <row r="62" spans="1:9" x14ac:dyDescent="0.25">
      <c r="A62">
        <v>87</v>
      </c>
      <c r="B62" s="2" t="s">
        <v>401</v>
      </c>
      <c r="C62" s="2" t="s">
        <v>402</v>
      </c>
      <c r="D62" s="2" t="s">
        <v>402</v>
      </c>
      <c r="E62" s="2" t="s">
        <v>403</v>
      </c>
      <c r="F62" s="2" t="s">
        <v>240</v>
      </c>
      <c r="G62">
        <v>56</v>
      </c>
      <c r="H62" s="3"/>
      <c r="I62" s="3">
        <v>46069.755231481482</v>
      </c>
    </row>
    <row r="63" spans="1:9" x14ac:dyDescent="0.25">
      <c r="A63">
        <v>88</v>
      </c>
      <c r="B63" s="2" t="s">
        <v>252</v>
      </c>
      <c r="C63" s="2" t="s">
        <v>404</v>
      </c>
      <c r="D63" s="2" t="s">
        <v>404</v>
      </c>
      <c r="E63" s="2" t="s">
        <v>405</v>
      </c>
      <c r="F63" s="2" t="s">
        <v>240</v>
      </c>
      <c r="G63">
        <v>57</v>
      </c>
      <c r="H63" s="3"/>
      <c r="I63" s="3">
        <v>46069.755231481482</v>
      </c>
    </row>
    <row r="64" spans="1:9" x14ac:dyDescent="0.25">
      <c r="A64">
        <v>89</v>
      </c>
      <c r="B64" s="2" t="s">
        <v>406</v>
      </c>
      <c r="C64" s="2" t="s">
        <v>407</v>
      </c>
      <c r="D64" s="2" t="s">
        <v>407</v>
      </c>
      <c r="E64" s="2" t="s">
        <v>408</v>
      </c>
      <c r="F64" s="2" t="s">
        <v>240</v>
      </c>
      <c r="G64">
        <v>58</v>
      </c>
      <c r="H64" s="3"/>
      <c r="I64" s="3">
        <v>46069.755231481482</v>
      </c>
    </row>
    <row r="65" spans="1:9" x14ac:dyDescent="0.25">
      <c r="A65">
        <v>90</v>
      </c>
      <c r="B65" s="2" t="s">
        <v>409</v>
      </c>
      <c r="C65" s="2" t="s">
        <v>410</v>
      </c>
      <c r="D65" s="2" t="s">
        <v>410</v>
      </c>
      <c r="E65" s="2" t="s">
        <v>411</v>
      </c>
      <c r="F65" s="2" t="s">
        <v>240</v>
      </c>
      <c r="G65">
        <v>59</v>
      </c>
      <c r="H65" s="3"/>
      <c r="I65" s="3">
        <v>46069.755243055559</v>
      </c>
    </row>
    <row r="66" spans="1:9" x14ac:dyDescent="0.25">
      <c r="A66">
        <v>91</v>
      </c>
      <c r="B66" s="2" t="s">
        <v>412</v>
      </c>
      <c r="C66" s="2" t="s">
        <v>413</v>
      </c>
      <c r="D66" s="2" t="s">
        <v>413</v>
      </c>
      <c r="E66" s="2" t="s">
        <v>414</v>
      </c>
      <c r="F66" s="2" t="s">
        <v>240</v>
      </c>
      <c r="G66">
        <v>60</v>
      </c>
      <c r="H66" s="3"/>
      <c r="I66" s="3">
        <v>46069.755243055559</v>
      </c>
    </row>
    <row r="67" spans="1:9" x14ac:dyDescent="0.25">
      <c r="A67">
        <v>92</v>
      </c>
      <c r="B67" s="2" t="s">
        <v>415</v>
      </c>
      <c r="C67" s="2" t="s">
        <v>416</v>
      </c>
      <c r="D67" s="2" t="s">
        <v>416</v>
      </c>
      <c r="E67" s="2" t="s">
        <v>417</v>
      </c>
      <c r="F67" s="2" t="s">
        <v>240</v>
      </c>
      <c r="G67">
        <v>61</v>
      </c>
      <c r="H67" s="3"/>
      <c r="I67" s="3">
        <v>46069.755243055559</v>
      </c>
    </row>
    <row r="68" spans="1:9" x14ac:dyDescent="0.25">
      <c r="A68">
        <v>93</v>
      </c>
      <c r="B68" s="2" t="s">
        <v>418</v>
      </c>
      <c r="C68" s="2" t="s">
        <v>419</v>
      </c>
      <c r="D68" s="2" t="s">
        <v>419</v>
      </c>
      <c r="E68" s="2" t="s">
        <v>420</v>
      </c>
      <c r="F68" s="2" t="s">
        <v>240</v>
      </c>
      <c r="G68">
        <v>62</v>
      </c>
      <c r="H68" s="3"/>
      <c r="I68" s="3">
        <v>46069.755243055559</v>
      </c>
    </row>
    <row r="69" spans="1:9" x14ac:dyDescent="0.25">
      <c r="A69">
        <v>94</v>
      </c>
      <c r="B69" s="2" t="s">
        <v>421</v>
      </c>
      <c r="C69" s="2" t="s">
        <v>422</v>
      </c>
      <c r="D69" s="2" t="s">
        <v>422</v>
      </c>
      <c r="E69" s="2" t="s">
        <v>423</v>
      </c>
      <c r="F69" s="2" t="s">
        <v>240</v>
      </c>
      <c r="G69">
        <v>63</v>
      </c>
      <c r="H69" s="3"/>
      <c r="I69" s="3">
        <v>46069.755243055559</v>
      </c>
    </row>
    <row r="70" spans="1:9" x14ac:dyDescent="0.25">
      <c r="A70">
        <v>95</v>
      </c>
      <c r="B70" s="2" t="s">
        <v>264</v>
      </c>
      <c r="C70" s="2" t="s">
        <v>424</v>
      </c>
      <c r="D70" s="2" t="s">
        <v>424</v>
      </c>
      <c r="E70" s="2" t="s">
        <v>425</v>
      </c>
      <c r="F70" s="2" t="s">
        <v>240</v>
      </c>
      <c r="G70">
        <v>64</v>
      </c>
      <c r="H70" s="3"/>
      <c r="I70" s="3">
        <v>46069.755243055559</v>
      </c>
    </row>
    <row r="71" spans="1:9" x14ac:dyDescent="0.25">
      <c r="A71">
        <v>96</v>
      </c>
      <c r="B71" s="2" t="s">
        <v>426</v>
      </c>
      <c r="C71" s="2" t="s">
        <v>427</v>
      </c>
      <c r="D71" s="2" t="s">
        <v>427</v>
      </c>
      <c r="E71" s="2" t="s">
        <v>428</v>
      </c>
      <c r="F71" s="2" t="s">
        <v>240</v>
      </c>
      <c r="G71">
        <v>65</v>
      </c>
      <c r="H71" s="3"/>
      <c r="I71" s="3">
        <v>46069.755243055559</v>
      </c>
    </row>
    <row r="72" spans="1:9" x14ac:dyDescent="0.25">
      <c r="A72">
        <v>97</v>
      </c>
      <c r="B72" s="2" t="s">
        <v>429</v>
      </c>
      <c r="C72" s="2" t="s">
        <v>430</v>
      </c>
      <c r="D72" s="2" t="s">
        <v>430</v>
      </c>
      <c r="E72" s="2" t="s">
        <v>431</v>
      </c>
      <c r="F72" s="2" t="s">
        <v>240</v>
      </c>
      <c r="G72">
        <v>66</v>
      </c>
      <c r="H72" s="3"/>
      <c r="I72" s="3">
        <v>46069.755243055559</v>
      </c>
    </row>
    <row r="73" spans="1:9" x14ac:dyDescent="0.25">
      <c r="A73">
        <v>98</v>
      </c>
      <c r="B73" s="2" t="s">
        <v>432</v>
      </c>
      <c r="C73" s="2" t="s">
        <v>433</v>
      </c>
      <c r="D73" s="2" t="s">
        <v>433</v>
      </c>
      <c r="E73" s="2" t="s">
        <v>434</v>
      </c>
      <c r="F73" s="2" t="s">
        <v>240</v>
      </c>
      <c r="G73">
        <v>67</v>
      </c>
      <c r="H73" s="3"/>
      <c r="I73" s="3">
        <v>46069.755243055559</v>
      </c>
    </row>
    <row r="74" spans="1:9" x14ac:dyDescent="0.25">
      <c r="A74">
        <v>99</v>
      </c>
      <c r="B74" s="2" t="s">
        <v>435</v>
      </c>
      <c r="C74" s="2" t="s">
        <v>436</v>
      </c>
      <c r="D74" s="2" t="s">
        <v>436</v>
      </c>
      <c r="E74" s="2" t="s">
        <v>437</v>
      </c>
      <c r="F74" s="2" t="s">
        <v>240</v>
      </c>
      <c r="G74">
        <v>68</v>
      </c>
      <c r="H74" s="3"/>
      <c r="I74" s="3">
        <v>46069.755243055559</v>
      </c>
    </row>
    <row r="75" spans="1:9" x14ac:dyDescent="0.25">
      <c r="A75">
        <v>100</v>
      </c>
      <c r="B75" s="2" t="s">
        <v>438</v>
      </c>
      <c r="C75" s="2" t="s">
        <v>439</v>
      </c>
      <c r="D75" s="2" t="s">
        <v>439</v>
      </c>
      <c r="E75" s="2" t="s">
        <v>440</v>
      </c>
      <c r="F75" s="2" t="s">
        <v>240</v>
      </c>
      <c r="G75">
        <v>69</v>
      </c>
      <c r="H75" s="3"/>
      <c r="I75" s="3">
        <v>46069.755243055559</v>
      </c>
    </row>
    <row r="76" spans="1:9" x14ac:dyDescent="0.25">
      <c r="A76">
        <v>101</v>
      </c>
      <c r="B76" s="2" t="s">
        <v>441</v>
      </c>
      <c r="C76" s="2" t="s">
        <v>442</v>
      </c>
      <c r="D76" s="2" t="s">
        <v>442</v>
      </c>
      <c r="E76" s="2" t="s">
        <v>443</v>
      </c>
      <c r="F76" s="2" t="s">
        <v>240</v>
      </c>
      <c r="G76">
        <v>70</v>
      </c>
      <c r="H76" s="3"/>
      <c r="I76" s="3">
        <v>46069.755243055559</v>
      </c>
    </row>
    <row r="77" spans="1:9" x14ac:dyDescent="0.25">
      <c r="A77">
        <v>102</v>
      </c>
      <c r="B77" s="2" t="s">
        <v>361</v>
      </c>
      <c r="C77" s="2" t="s">
        <v>444</v>
      </c>
      <c r="D77" s="2" t="s">
        <v>444</v>
      </c>
      <c r="E77" s="2" t="s">
        <v>445</v>
      </c>
      <c r="F77" s="2" t="s">
        <v>240</v>
      </c>
      <c r="G77">
        <v>71</v>
      </c>
      <c r="H77" s="3"/>
      <c r="I77" s="3">
        <v>46069.755243055559</v>
      </c>
    </row>
    <row r="78" spans="1:9" x14ac:dyDescent="0.25">
      <c r="A78">
        <v>103</v>
      </c>
      <c r="B78" s="2" t="s">
        <v>446</v>
      </c>
      <c r="C78" s="2" t="s">
        <v>447</v>
      </c>
      <c r="D78" s="2" t="s">
        <v>447</v>
      </c>
      <c r="E78" s="2" t="s">
        <v>448</v>
      </c>
      <c r="F78" s="2" t="s">
        <v>240</v>
      </c>
      <c r="G78">
        <v>72</v>
      </c>
      <c r="H78" s="3"/>
      <c r="I78" s="3">
        <v>46069.755243055559</v>
      </c>
    </row>
    <row r="79" spans="1:9" x14ac:dyDescent="0.25">
      <c r="A79">
        <v>104</v>
      </c>
      <c r="B79" s="2" t="s">
        <v>449</v>
      </c>
      <c r="C79" s="2" t="s">
        <v>450</v>
      </c>
      <c r="D79" s="2" t="s">
        <v>450</v>
      </c>
      <c r="E79" s="2" t="s">
        <v>451</v>
      </c>
      <c r="F79" s="2" t="s">
        <v>240</v>
      </c>
      <c r="G79">
        <v>73</v>
      </c>
      <c r="H79" s="3"/>
      <c r="I79" s="3">
        <v>46069.755243055559</v>
      </c>
    </row>
    <row r="80" spans="1:9" x14ac:dyDescent="0.25">
      <c r="A80">
        <v>105</v>
      </c>
      <c r="B80" s="2" t="s">
        <v>452</v>
      </c>
      <c r="C80" s="2" t="s">
        <v>453</v>
      </c>
      <c r="D80" s="2" t="s">
        <v>453</v>
      </c>
      <c r="E80" s="2" t="s">
        <v>454</v>
      </c>
      <c r="F80" s="2" t="s">
        <v>240</v>
      </c>
      <c r="G80">
        <v>74</v>
      </c>
      <c r="H80" s="3"/>
      <c r="I80" s="3">
        <v>46069.755243055559</v>
      </c>
    </row>
    <row r="81" spans="1:9" x14ac:dyDescent="0.25">
      <c r="A81">
        <v>106</v>
      </c>
      <c r="B81" s="2" t="s">
        <v>455</v>
      </c>
      <c r="C81" s="2" t="s">
        <v>456</v>
      </c>
      <c r="D81" s="2" t="s">
        <v>456</v>
      </c>
      <c r="E81" s="2" t="s">
        <v>457</v>
      </c>
      <c r="F81" s="2" t="s">
        <v>240</v>
      </c>
      <c r="G81">
        <v>75</v>
      </c>
      <c r="H81" s="3"/>
      <c r="I81" s="3">
        <v>46069.755243055559</v>
      </c>
    </row>
    <row r="82" spans="1:9" x14ac:dyDescent="0.25">
      <c r="A82">
        <v>107</v>
      </c>
      <c r="B82" s="2" t="s">
        <v>458</v>
      </c>
      <c r="C82" s="2" t="s">
        <v>459</v>
      </c>
      <c r="D82" s="2" t="s">
        <v>459</v>
      </c>
      <c r="E82" s="2" t="s">
        <v>460</v>
      </c>
      <c r="F82" s="2" t="s">
        <v>240</v>
      </c>
      <c r="G82">
        <v>76</v>
      </c>
      <c r="H82" s="3"/>
      <c r="I82" s="3">
        <v>46069.755243055559</v>
      </c>
    </row>
    <row r="83" spans="1:9" x14ac:dyDescent="0.25">
      <c r="A83">
        <v>108</v>
      </c>
      <c r="B83" s="2" t="s">
        <v>461</v>
      </c>
      <c r="C83" s="2" t="s">
        <v>462</v>
      </c>
      <c r="D83" s="2" t="s">
        <v>462</v>
      </c>
      <c r="E83" s="2" t="s">
        <v>463</v>
      </c>
      <c r="F83" s="2" t="s">
        <v>240</v>
      </c>
      <c r="G83">
        <v>77</v>
      </c>
      <c r="H83" s="3"/>
      <c r="I83" s="3">
        <v>46069.755243055559</v>
      </c>
    </row>
    <row r="84" spans="1:9" x14ac:dyDescent="0.25">
      <c r="A84">
        <v>421</v>
      </c>
      <c r="B84" s="2" t="s">
        <v>243</v>
      </c>
      <c r="C84" s="2" t="s">
        <v>21</v>
      </c>
      <c r="D84" s="2" t="s">
        <v>21</v>
      </c>
      <c r="E84" s="2" t="s">
        <v>464</v>
      </c>
      <c r="F84" s="2" t="s">
        <v>240</v>
      </c>
      <c r="G84">
        <v>1</v>
      </c>
      <c r="H84" s="3"/>
      <c r="I84" s="3">
        <v>46069.757638888892</v>
      </c>
    </row>
    <row r="85" spans="1:9" x14ac:dyDescent="0.25">
      <c r="A85">
        <v>422</v>
      </c>
      <c r="B85" s="2" t="s">
        <v>246</v>
      </c>
      <c r="C85" s="2" t="s">
        <v>25</v>
      </c>
      <c r="D85" s="2" t="s">
        <v>25</v>
      </c>
      <c r="E85" s="2" t="s">
        <v>465</v>
      </c>
      <c r="F85" s="2" t="s">
        <v>240</v>
      </c>
      <c r="G85">
        <v>2</v>
      </c>
      <c r="H85" s="3"/>
      <c r="I85" s="3">
        <v>46069.757638888892</v>
      </c>
    </row>
    <row r="86" spans="1:9" x14ac:dyDescent="0.25">
      <c r="A86">
        <v>423</v>
      </c>
      <c r="B86" s="2" t="s">
        <v>249</v>
      </c>
      <c r="C86" s="2" t="s">
        <v>466</v>
      </c>
      <c r="D86" s="2" t="s">
        <v>466</v>
      </c>
      <c r="E86" s="2" t="s">
        <v>467</v>
      </c>
      <c r="F86" s="2" t="s">
        <v>240</v>
      </c>
      <c r="G86">
        <v>3</v>
      </c>
      <c r="H86" s="3"/>
      <c r="I86" s="3">
        <v>46069.757638888892</v>
      </c>
    </row>
    <row r="87" spans="1:9" x14ac:dyDescent="0.25">
      <c r="A87">
        <v>424</v>
      </c>
      <c r="B87" s="2" t="s">
        <v>252</v>
      </c>
      <c r="C87" s="2" t="s">
        <v>468</v>
      </c>
      <c r="D87" s="2" t="s">
        <v>468</v>
      </c>
      <c r="E87" s="2" t="s">
        <v>469</v>
      </c>
      <c r="F87" s="2" t="s">
        <v>240</v>
      </c>
      <c r="G87">
        <v>4</v>
      </c>
      <c r="H87" s="3"/>
      <c r="I87" s="3">
        <v>46069.757638888892</v>
      </c>
    </row>
    <row r="88" spans="1:9" x14ac:dyDescent="0.25">
      <c r="A88">
        <v>425</v>
      </c>
      <c r="B88" s="2" t="s">
        <v>255</v>
      </c>
      <c r="C88" s="2" t="s">
        <v>470</v>
      </c>
      <c r="D88" s="2" t="s">
        <v>470</v>
      </c>
      <c r="E88" s="2" t="s">
        <v>471</v>
      </c>
      <c r="F88" s="2" t="s">
        <v>240</v>
      </c>
      <c r="G88">
        <v>5</v>
      </c>
      <c r="H88" s="3"/>
      <c r="I88" s="3">
        <v>46069.757638888892</v>
      </c>
    </row>
    <row r="89" spans="1:9" x14ac:dyDescent="0.25">
      <c r="A89">
        <v>426</v>
      </c>
      <c r="B89" s="2" t="s">
        <v>258</v>
      </c>
      <c r="C89" s="2" t="s">
        <v>472</v>
      </c>
      <c r="D89" s="2" t="s">
        <v>472</v>
      </c>
      <c r="E89" s="2" t="s">
        <v>473</v>
      </c>
      <c r="F89" s="2" t="s">
        <v>240</v>
      </c>
      <c r="G89">
        <v>6</v>
      </c>
      <c r="H89" s="3"/>
      <c r="I89" s="3">
        <v>46069.757638888892</v>
      </c>
    </row>
    <row r="90" spans="1:9" x14ac:dyDescent="0.25">
      <c r="A90">
        <v>427</v>
      </c>
      <c r="B90" s="2" t="s">
        <v>261</v>
      </c>
      <c r="C90" s="2" t="s">
        <v>474</v>
      </c>
      <c r="D90" s="2" t="s">
        <v>474</v>
      </c>
      <c r="E90" s="2" t="s">
        <v>475</v>
      </c>
      <c r="F90" s="2" t="s">
        <v>240</v>
      </c>
      <c r="G90">
        <v>7</v>
      </c>
      <c r="H90" s="3"/>
      <c r="I90" s="3">
        <v>46069.757638888892</v>
      </c>
    </row>
    <row r="91" spans="1:9" x14ac:dyDescent="0.25">
      <c r="A91">
        <v>428</v>
      </c>
      <c r="B91" s="2" t="s">
        <v>264</v>
      </c>
      <c r="C91" s="2" t="s">
        <v>476</v>
      </c>
      <c r="D91" s="2" t="s">
        <v>476</v>
      </c>
      <c r="E91" s="2" t="s">
        <v>477</v>
      </c>
      <c r="F91" s="2" t="s">
        <v>240</v>
      </c>
      <c r="G91">
        <v>8</v>
      </c>
      <c r="H91" s="3"/>
      <c r="I91" s="3">
        <v>46069.757638888892</v>
      </c>
    </row>
    <row r="92" spans="1:9" x14ac:dyDescent="0.25">
      <c r="A92">
        <v>429</v>
      </c>
      <c r="B92" s="2" t="s">
        <v>267</v>
      </c>
      <c r="C92" s="2" t="s">
        <v>478</v>
      </c>
      <c r="D92" s="2" t="s">
        <v>478</v>
      </c>
      <c r="E92" s="2" t="s">
        <v>479</v>
      </c>
      <c r="F92" s="2" t="s">
        <v>240</v>
      </c>
      <c r="G92">
        <v>9</v>
      </c>
      <c r="H92" s="3"/>
      <c r="I92" s="3">
        <v>46069.757638888892</v>
      </c>
    </row>
    <row r="93" spans="1:9" x14ac:dyDescent="0.25">
      <c r="A93">
        <v>430</v>
      </c>
      <c r="B93" s="2" t="s">
        <v>270</v>
      </c>
      <c r="C93" s="2" t="s">
        <v>480</v>
      </c>
      <c r="D93" s="2" t="s">
        <v>480</v>
      </c>
      <c r="E93" s="2" t="s">
        <v>481</v>
      </c>
      <c r="F93" s="2" t="s">
        <v>240</v>
      </c>
      <c r="G93">
        <v>10</v>
      </c>
      <c r="H93" s="3"/>
      <c r="I93" s="3">
        <v>46069.757638888892</v>
      </c>
    </row>
    <row r="94" spans="1:9" x14ac:dyDescent="0.25">
      <c r="A94">
        <v>431</v>
      </c>
      <c r="B94" s="2" t="s">
        <v>273</v>
      </c>
      <c r="C94" s="2" t="s">
        <v>482</v>
      </c>
      <c r="D94" s="2" t="s">
        <v>482</v>
      </c>
      <c r="E94" s="2" t="s">
        <v>483</v>
      </c>
      <c r="F94" s="2" t="s">
        <v>240</v>
      </c>
      <c r="G94">
        <v>11</v>
      </c>
      <c r="H94" s="3"/>
      <c r="I94" s="3">
        <v>46069.757638888892</v>
      </c>
    </row>
    <row r="95" spans="1:9" x14ac:dyDescent="0.25">
      <c r="A95">
        <v>432</v>
      </c>
      <c r="B95" s="2" t="s">
        <v>276</v>
      </c>
      <c r="C95" s="2" t="s">
        <v>484</v>
      </c>
      <c r="D95" s="2" t="s">
        <v>484</v>
      </c>
      <c r="E95" s="2" t="s">
        <v>485</v>
      </c>
      <c r="F95" s="2" t="s">
        <v>240</v>
      </c>
      <c r="G95">
        <v>12</v>
      </c>
      <c r="H95" s="3"/>
      <c r="I95" s="3">
        <v>46069.757638888892</v>
      </c>
    </row>
    <row r="96" spans="1:9" x14ac:dyDescent="0.25">
      <c r="A96">
        <v>433</v>
      </c>
      <c r="B96" s="2" t="s">
        <v>279</v>
      </c>
      <c r="C96" s="2" t="s">
        <v>486</v>
      </c>
      <c r="D96" s="2" t="s">
        <v>486</v>
      </c>
      <c r="E96" s="2" t="s">
        <v>487</v>
      </c>
      <c r="F96" s="2" t="s">
        <v>240</v>
      </c>
      <c r="G96">
        <v>13</v>
      </c>
      <c r="H96" s="3"/>
      <c r="I96" s="3">
        <v>46069.757650462961</v>
      </c>
    </row>
    <row r="97" spans="1:9" x14ac:dyDescent="0.25">
      <c r="A97">
        <v>434</v>
      </c>
      <c r="B97" s="2" t="s">
        <v>282</v>
      </c>
      <c r="C97" s="2" t="s">
        <v>488</v>
      </c>
      <c r="D97" s="2" t="s">
        <v>488</v>
      </c>
      <c r="E97" s="2" t="s">
        <v>489</v>
      </c>
      <c r="F97" s="2" t="s">
        <v>240</v>
      </c>
      <c r="G97">
        <v>14</v>
      </c>
      <c r="H97" s="3"/>
      <c r="I97" s="3">
        <v>46069.757650462961</v>
      </c>
    </row>
    <row r="98" spans="1:9" x14ac:dyDescent="0.25">
      <c r="A98">
        <v>435</v>
      </c>
      <c r="B98" s="2" t="s">
        <v>285</v>
      </c>
      <c r="C98" s="2" t="s">
        <v>490</v>
      </c>
      <c r="D98" s="2" t="s">
        <v>490</v>
      </c>
      <c r="E98" s="2" t="s">
        <v>491</v>
      </c>
      <c r="F98" s="2" t="s">
        <v>240</v>
      </c>
      <c r="G98">
        <v>15</v>
      </c>
      <c r="H98" s="3"/>
      <c r="I98" s="3">
        <v>46069.757650462961</v>
      </c>
    </row>
    <row r="99" spans="1:9" x14ac:dyDescent="0.25">
      <c r="A99">
        <v>436</v>
      </c>
      <c r="B99" s="2" t="s">
        <v>288</v>
      </c>
      <c r="C99" s="2" t="s">
        <v>492</v>
      </c>
      <c r="D99" s="2" t="s">
        <v>492</v>
      </c>
      <c r="E99" s="2" t="s">
        <v>493</v>
      </c>
      <c r="F99" s="2" t="s">
        <v>240</v>
      </c>
      <c r="G99">
        <v>16</v>
      </c>
      <c r="H99" s="3"/>
      <c r="I99" s="3">
        <v>46069.757650462961</v>
      </c>
    </row>
    <row r="100" spans="1:9" x14ac:dyDescent="0.25">
      <c r="A100">
        <v>437</v>
      </c>
      <c r="B100" s="2" t="s">
        <v>291</v>
      </c>
      <c r="C100" s="2" t="s">
        <v>494</v>
      </c>
      <c r="D100" s="2" t="s">
        <v>494</v>
      </c>
      <c r="E100" s="2" t="s">
        <v>495</v>
      </c>
      <c r="F100" s="2" t="s">
        <v>240</v>
      </c>
      <c r="G100">
        <v>17</v>
      </c>
      <c r="H100" s="3"/>
      <c r="I100" s="3">
        <v>46069.757650462961</v>
      </c>
    </row>
    <row r="101" spans="1:9" x14ac:dyDescent="0.25">
      <c r="A101">
        <v>438</v>
      </c>
      <c r="B101" s="2" t="s">
        <v>294</v>
      </c>
      <c r="C101" s="2" t="s">
        <v>496</v>
      </c>
      <c r="D101" s="2" t="s">
        <v>496</v>
      </c>
      <c r="E101" s="2" t="s">
        <v>497</v>
      </c>
      <c r="F101" s="2" t="s">
        <v>240</v>
      </c>
      <c r="G101">
        <v>18</v>
      </c>
      <c r="H101" s="3"/>
      <c r="I101" s="3">
        <v>46069.757650462961</v>
      </c>
    </row>
    <row r="102" spans="1:9" x14ac:dyDescent="0.25">
      <c r="A102">
        <v>439</v>
      </c>
      <c r="B102" s="2" t="s">
        <v>297</v>
      </c>
      <c r="C102" s="2" t="s">
        <v>498</v>
      </c>
      <c r="D102" s="2" t="s">
        <v>498</v>
      </c>
      <c r="E102" s="2" t="s">
        <v>499</v>
      </c>
      <c r="F102" s="2" t="s">
        <v>240</v>
      </c>
      <c r="G102">
        <v>19</v>
      </c>
      <c r="H102" s="3"/>
      <c r="I102" s="3">
        <v>46069.757650462961</v>
      </c>
    </row>
    <row r="103" spans="1:9" x14ac:dyDescent="0.25">
      <c r="A103">
        <v>440</v>
      </c>
      <c r="B103" s="2" t="s">
        <v>300</v>
      </c>
      <c r="C103" s="2" t="s">
        <v>500</v>
      </c>
      <c r="D103" s="2" t="s">
        <v>500</v>
      </c>
      <c r="E103" s="2" t="s">
        <v>501</v>
      </c>
      <c r="F103" s="2" t="s">
        <v>240</v>
      </c>
      <c r="G103">
        <v>20</v>
      </c>
      <c r="H103" s="3"/>
      <c r="I103" s="3">
        <v>46069.757650462961</v>
      </c>
    </row>
    <row r="104" spans="1:9" x14ac:dyDescent="0.25">
      <c r="A104">
        <v>441</v>
      </c>
      <c r="B104" s="2" t="s">
        <v>303</v>
      </c>
      <c r="C104" s="2" t="s">
        <v>502</v>
      </c>
      <c r="D104" s="2" t="s">
        <v>502</v>
      </c>
      <c r="E104" s="2" t="s">
        <v>503</v>
      </c>
      <c r="F104" s="2" t="s">
        <v>240</v>
      </c>
      <c r="G104">
        <v>21</v>
      </c>
      <c r="H104" s="3"/>
      <c r="I104" s="3">
        <v>46069.757650462961</v>
      </c>
    </row>
    <row r="105" spans="1:9" x14ac:dyDescent="0.25">
      <c r="A105">
        <v>442</v>
      </c>
      <c r="B105" s="2" t="s">
        <v>306</v>
      </c>
      <c r="C105" s="2" t="s">
        <v>504</v>
      </c>
      <c r="D105" s="2" t="s">
        <v>504</v>
      </c>
      <c r="E105" s="2" t="s">
        <v>505</v>
      </c>
      <c r="F105" s="2" t="s">
        <v>240</v>
      </c>
      <c r="G105">
        <v>22</v>
      </c>
      <c r="H105" s="3"/>
      <c r="I105" s="3">
        <v>46069.757650462961</v>
      </c>
    </row>
    <row r="106" spans="1:9" x14ac:dyDescent="0.25">
      <c r="A106">
        <v>443</v>
      </c>
      <c r="B106" s="2" t="s">
        <v>309</v>
      </c>
      <c r="C106" s="2" t="s">
        <v>506</v>
      </c>
      <c r="D106" s="2" t="s">
        <v>506</v>
      </c>
      <c r="E106" s="2" t="s">
        <v>507</v>
      </c>
      <c r="F106" s="2" t="s">
        <v>240</v>
      </c>
      <c r="G106">
        <v>23</v>
      </c>
      <c r="H106" s="3"/>
      <c r="I106" s="3">
        <v>46069.757650462961</v>
      </c>
    </row>
    <row r="107" spans="1:9" x14ac:dyDescent="0.25">
      <c r="A107">
        <v>444</v>
      </c>
      <c r="B107" s="2" t="s">
        <v>312</v>
      </c>
      <c r="C107" s="2" t="s">
        <v>508</v>
      </c>
      <c r="D107" s="2" t="s">
        <v>508</v>
      </c>
      <c r="E107" s="2" t="s">
        <v>509</v>
      </c>
      <c r="F107" s="2" t="s">
        <v>240</v>
      </c>
      <c r="G107">
        <v>24</v>
      </c>
      <c r="H107" s="3"/>
      <c r="I107" s="3">
        <v>46069.757650462961</v>
      </c>
    </row>
    <row r="108" spans="1:9" x14ac:dyDescent="0.25">
      <c r="A108">
        <v>445</v>
      </c>
      <c r="B108" s="2" t="s">
        <v>315</v>
      </c>
      <c r="C108" s="2" t="s">
        <v>510</v>
      </c>
      <c r="D108" s="2" t="s">
        <v>510</v>
      </c>
      <c r="E108" s="2" t="s">
        <v>511</v>
      </c>
      <c r="F108" s="2" t="s">
        <v>240</v>
      </c>
      <c r="G108">
        <v>25</v>
      </c>
      <c r="H108" s="3"/>
      <c r="I108" s="3">
        <v>46069.757650462961</v>
      </c>
    </row>
    <row r="109" spans="1:9" x14ac:dyDescent="0.25">
      <c r="A109">
        <v>446</v>
      </c>
      <c r="B109" s="2" t="s">
        <v>318</v>
      </c>
      <c r="C109" s="2" t="s">
        <v>512</v>
      </c>
      <c r="D109" s="2" t="s">
        <v>512</v>
      </c>
      <c r="E109" s="2" t="s">
        <v>513</v>
      </c>
      <c r="F109" s="2" t="s">
        <v>240</v>
      </c>
      <c r="G109">
        <v>26</v>
      </c>
      <c r="H109" s="3"/>
      <c r="I109" s="3">
        <v>46069.757650462961</v>
      </c>
    </row>
    <row r="110" spans="1:9" x14ac:dyDescent="0.25">
      <c r="A110">
        <v>447</v>
      </c>
      <c r="B110" s="2" t="s">
        <v>321</v>
      </c>
      <c r="C110" s="2" t="s">
        <v>514</v>
      </c>
      <c r="D110" s="2" t="s">
        <v>514</v>
      </c>
      <c r="E110" s="2" t="s">
        <v>515</v>
      </c>
      <c r="F110" s="2" t="s">
        <v>240</v>
      </c>
      <c r="G110">
        <v>27</v>
      </c>
      <c r="H110" s="3"/>
      <c r="I110" s="3">
        <v>46069.757650462961</v>
      </c>
    </row>
    <row r="111" spans="1:9" x14ac:dyDescent="0.25">
      <c r="A111">
        <v>448</v>
      </c>
      <c r="B111" s="2" t="s">
        <v>324</v>
      </c>
      <c r="C111" s="2" t="s">
        <v>516</v>
      </c>
      <c r="D111" s="2" t="s">
        <v>516</v>
      </c>
      <c r="E111" s="2" t="s">
        <v>517</v>
      </c>
      <c r="F111" s="2" t="s">
        <v>240</v>
      </c>
      <c r="G111">
        <v>28</v>
      </c>
      <c r="H111" s="3"/>
      <c r="I111" s="3">
        <v>46069.757650462961</v>
      </c>
    </row>
    <row r="112" spans="1:9" x14ac:dyDescent="0.25">
      <c r="A112">
        <v>449</v>
      </c>
      <c r="B112" s="2" t="s">
        <v>327</v>
      </c>
      <c r="C112" s="2" t="s">
        <v>518</v>
      </c>
      <c r="D112" s="2" t="s">
        <v>518</v>
      </c>
      <c r="E112" s="2" t="s">
        <v>519</v>
      </c>
      <c r="F112" s="2" t="s">
        <v>240</v>
      </c>
      <c r="G112">
        <v>29</v>
      </c>
      <c r="H112" s="3"/>
      <c r="I112" s="3">
        <v>46069.757650462961</v>
      </c>
    </row>
    <row r="113" spans="1:9" x14ac:dyDescent="0.25">
      <c r="A113">
        <v>450</v>
      </c>
      <c r="B113" s="2" t="s">
        <v>330</v>
      </c>
      <c r="C113" s="2" t="s">
        <v>520</v>
      </c>
      <c r="D113" s="2" t="s">
        <v>520</v>
      </c>
      <c r="E113" s="2" t="s">
        <v>521</v>
      </c>
      <c r="F113" s="2" t="s">
        <v>240</v>
      </c>
      <c r="G113">
        <v>30</v>
      </c>
      <c r="H113" s="3"/>
      <c r="I113" s="3">
        <v>46069.757650462961</v>
      </c>
    </row>
    <row r="114" spans="1:9" x14ac:dyDescent="0.25">
      <c r="A114">
        <v>451</v>
      </c>
      <c r="B114" s="2" t="s">
        <v>333</v>
      </c>
      <c r="C114" s="2" t="s">
        <v>522</v>
      </c>
      <c r="D114" s="2" t="s">
        <v>522</v>
      </c>
      <c r="E114" s="2" t="s">
        <v>523</v>
      </c>
      <c r="F114" s="2" t="s">
        <v>240</v>
      </c>
      <c r="G114">
        <v>31</v>
      </c>
      <c r="H114" s="3"/>
      <c r="I114" s="3">
        <v>46069.757650462961</v>
      </c>
    </row>
    <row r="115" spans="1:9" x14ac:dyDescent="0.25">
      <c r="A115">
        <v>452</v>
      </c>
      <c r="B115" s="2" t="s">
        <v>336</v>
      </c>
      <c r="C115" s="2" t="s">
        <v>524</v>
      </c>
      <c r="D115" s="2" t="s">
        <v>524</v>
      </c>
      <c r="E115" s="2" t="s">
        <v>525</v>
      </c>
      <c r="F115" s="2" t="s">
        <v>240</v>
      </c>
      <c r="G115">
        <v>32</v>
      </c>
      <c r="H115" s="3"/>
      <c r="I115" s="3">
        <v>46069.757650462961</v>
      </c>
    </row>
    <row r="116" spans="1:9" x14ac:dyDescent="0.25">
      <c r="A116">
        <v>453</v>
      </c>
      <c r="B116" s="2" t="s">
        <v>264</v>
      </c>
      <c r="C116" s="2" t="s">
        <v>526</v>
      </c>
      <c r="D116" s="2" t="s">
        <v>526</v>
      </c>
      <c r="E116" s="2" t="s">
        <v>527</v>
      </c>
      <c r="F116" s="2" t="s">
        <v>240</v>
      </c>
      <c r="G116">
        <v>33</v>
      </c>
      <c r="H116" s="3"/>
      <c r="I116" s="3">
        <v>46069.757662037038</v>
      </c>
    </row>
    <row r="117" spans="1:9" x14ac:dyDescent="0.25">
      <c r="A117">
        <v>454</v>
      </c>
      <c r="B117" s="2" t="s">
        <v>341</v>
      </c>
      <c r="C117" s="2" t="s">
        <v>528</v>
      </c>
      <c r="D117" s="2" t="s">
        <v>528</v>
      </c>
      <c r="E117" s="2" t="s">
        <v>529</v>
      </c>
      <c r="F117" s="2" t="s">
        <v>240</v>
      </c>
      <c r="G117">
        <v>34</v>
      </c>
      <c r="H117" s="3"/>
      <c r="I117" s="3">
        <v>46069.757662037038</v>
      </c>
    </row>
    <row r="118" spans="1:9" x14ac:dyDescent="0.25">
      <c r="A118">
        <v>455</v>
      </c>
      <c r="B118" s="2" t="s">
        <v>344</v>
      </c>
      <c r="C118" s="2" t="s">
        <v>530</v>
      </c>
      <c r="D118" s="2" t="s">
        <v>530</v>
      </c>
      <c r="E118" s="2" t="s">
        <v>531</v>
      </c>
      <c r="F118" s="2" t="s">
        <v>240</v>
      </c>
      <c r="G118">
        <v>35</v>
      </c>
      <c r="H118" s="3"/>
      <c r="I118" s="3">
        <v>46069.757662037038</v>
      </c>
    </row>
    <row r="119" spans="1:9" x14ac:dyDescent="0.25">
      <c r="A119">
        <v>456</v>
      </c>
      <c r="B119" s="2" t="s">
        <v>347</v>
      </c>
      <c r="C119" s="2" t="s">
        <v>532</v>
      </c>
      <c r="D119" s="2" t="s">
        <v>532</v>
      </c>
      <c r="E119" s="2" t="s">
        <v>533</v>
      </c>
      <c r="F119" s="2" t="s">
        <v>240</v>
      </c>
      <c r="G119">
        <v>36</v>
      </c>
      <c r="H119" s="3"/>
      <c r="I119" s="3">
        <v>46069.757662037038</v>
      </c>
    </row>
    <row r="120" spans="1:9" x14ac:dyDescent="0.25">
      <c r="A120">
        <v>457</v>
      </c>
      <c r="B120" s="2" t="s">
        <v>350</v>
      </c>
      <c r="C120" s="2" t="s">
        <v>534</v>
      </c>
      <c r="D120" s="2" t="s">
        <v>534</v>
      </c>
      <c r="E120" s="2" t="s">
        <v>535</v>
      </c>
      <c r="F120" s="2" t="s">
        <v>240</v>
      </c>
      <c r="G120">
        <v>37</v>
      </c>
      <c r="H120" s="3"/>
      <c r="I120" s="3">
        <v>46069.757662037038</v>
      </c>
    </row>
    <row r="121" spans="1:9" x14ac:dyDescent="0.25">
      <c r="A121">
        <v>458</v>
      </c>
      <c r="B121" s="2" t="s">
        <v>353</v>
      </c>
      <c r="C121" s="2" t="s">
        <v>536</v>
      </c>
      <c r="D121" s="2" t="s">
        <v>536</v>
      </c>
      <c r="E121" s="2" t="s">
        <v>537</v>
      </c>
      <c r="F121" s="2" t="s">
        <v>240</v>
      </c>
      <c r="G121">
        <v>38</v>
      </c>
      <c r="H121" s="3"/>
      <c r="I121" s="3">
        <v>46069.757662037038</v>
      </c>
    </row>
    <row r="122" spans="1:9" x14ac:dyDescent="0.25">
      <c r="A122">
        <v>459</v>
      </c>
      <c r="B122" s="2" t="s">
        <v>356</v>
      </c>
      <c r="C122" s="2" t="s">
        <v>538</v>
      </c>
      <c r="D122" s="2" t="s">
        <v>538</v>
      </c>
      <c r="E122" s="2" t="s">
        <v>539</v>
      </c>
      <c r="F122" s="2" t="s">
        <v>240</v>
      </c>
      <c r="G122">
        <v>39</v>
      </c>
      <c r="H122" s="3"/>
      <c r="I122" s="3">
        <v>46069.757662037038</v>
      </c>
    </row>
    <row r="123" spans="1:9" x14ac:dyDescent="0.25">
      <c r="A123">
        <v>460</v>
      </c>
      <c r="B123" s="2" t="s">
        <v>258</v>
      </c>
      <c r="C123" s="2" t="s">
        <v>540</v>
      </c>
      <c r="D123" s="2" t="s">
        <v>540</v>
      </c>
      <c r="E123" s="2" t="s">
        <v>541</v>
      </c>
      <c r="F123" s="2" t="s">
        <v>240</v>
      </c>
      <c r="G123">
        <v>40</v>
      </c>
      <c r="H123" s="3"/>
      <c r="I123" s="3">
        <v>46069.757662037038</v>
      </c>
    </row>
    <row r="124" spans="1:9" x14ac:dyDescent="0.25">
      <c r="A124">
        <v>461</v>
      </c>
      <c r="B124" s="2" t="s">
        <v>361</v>
      </c>
      <c r="C124" s="2" t="s">
        <v>542</v>
      </c>
      <c r="D124" s="2" t="s">
        <v>542</v>
      </c>
      <c r="E124" s="2" t="s">
        <v>543</v>
      </c>
      <c r="F124" s="2" t="s">
        <v>240</v>
      </c>
      <c r="G124">
        <v>41</v>
      </c>
      <c r="H124" s="3"/>
      <c r="I124" s="3">
        <v>46069.757662037038</v>
      </c>
    </row>
    <row r="125" spans="1:9" x14ac:dyDescent="0.25">
      <c r="A125">
        <v>462</v>
      </c>
      <c r="B125" s="2" t="s">
        <v>364</v>
      </c>
      <c r="C125" s="2" t="s">
        <v>544</v>
      </c>
      <c r="D125" s="2" t="s">
        <v>544</v>
      </c>
      <c r="E125" s="2" t="s">
        <v>545</v>
      </c>
      <c r="F125" s="2" t="s">
        <v>240</v>
      </c>
      <c r="G125">
        <v>42</v>
      </c>
      <c r="H125" s="3"/>
      <c r="I125" s="3">
        <v>46069.757662037038</v>
      </c>
    </row>
    <row r="126" spans="1:9" x14ac:dyDescent="0.25">
      <c r="A126">
        <v>463</v>
      </c>
      <c r="B126" s="2" t="s">
        <v>367</v>
      </c>
      <c r="C126" s="2" t="s">
        <v>546</v>
      </c>
      <c r="D126" s="2" t="s">
        <v>546</v>
      </c>
      <c r="E126" s="2" t="s">
        <v>547</v>
      </c>
      <c r="F126" s="2" t="s">
        <v>240</v>
      </c>
      <c r="G126">
        <v>43</v>
      </c>
      <c r="H126" s="3"/>
      <c r="I126" s="3">
        <v>46069.757662037038</v>
      </c>
    </row>
    <row r="127" spans="1:9" x14ac:dyDescent="0.25">
      <c r="A127">
        <v>464</v>
      </c>
      <c r="B127" s="2" t="s">
        <v>367</v>
      </c>
      <c r="C127" s="2" t="s">
        <v>548</v>
      </c>
      <c r="D127" s="2" t="s">
        <v>548</v>
      </c>
      <c r="E127" s="2" t="s">
        <v>549</v>
      </c>
      <c r="F127" s="2" t="s">
        <v>240</v>
      </c>
      <c r="G127">
        <v>44</v>
      </c>
      <c r="H127" s="3"/>
      <c r="I127" s="3">
        <v>46069.757662037038</v>
      </c>
    </row>
    <row r="128" spans="1:9" x14ac:dyDescent="0.25">
      <c r="A128">
        <v>465</v>
      </c>
      <c r="B128" s="2" t="s">
        <v>372</v>
      </c>
      <c r="C128" s="2" t="s">
        <v>550</v>
      </c>
      <c r="D128" s="2" t="s">
        <v>550</v>
      </c>
      <c r="E128" s="2" t="s">
        <v>551</v>
      </c>
      <c r="F128" s="2" t="s">
        <v>240</v>
      </c>
      <c r="G128">
        <v>45</v>
      </c>
      <c r="H128" s="3"/>
      <c r="I128" s="3">
        <v>46069.757662037038</v>
      </c>
    </row>
    <row r="129" spans="1:9" x14ac:dyDescent="0.25">
      <c r="A129">
        <v>466</v>
      </c>
      <c r="B129" s="2" t="s">
        <v>375</v>
      </c>
      <c r="C129" s="2" t="s">
        <v>552</v>
      </c>
      <c r="D129" s="2" t="s">
        <v>552</v>
      </c>
      <c r="E129" s="2" t="s">
        <v>553</v>
      </c>
      <c r="F129" s="2" t="s">
        <v>240</v>
      </c>
      <c r="G129">
        <v>46</v>
      </c>
      <c r="H129" s="3"/>
      <c r="I129" s="3">
        <v>46069.757662037038</v>
      </c>
    </row>
    <row r="130" spans="1:9" x14ac:dyDescent="0.25">
      <c r="A130">
        <v>467</v>
      </c>
      <c r="B130" s="2" t="s">
        <v>378</v>
      </c>
      <c r="C130" s="2" t="s">
        <v>554</v>
      </c>
      <c r="D130" s="2" t="s">
        <v>554</v>
      </c>
      <c r="E130" s="2" t="s">
        <v>555</v>
      </c>
      <c r="F130" s="2" t="s">
        <v>240</v>
      </c>
      <c r="G130">
        <v>47</v>
      </c>
      <c r="H130" s="3"/>
      <c r="I130" s="3">
        <v>46069.757662037038</v>
      </c>
    </row>
    <row r="131" spans="1:9" x14ac:dyDescent="0.25">
      <c r="A131">
        <v>468</v>
      </c>
      <c r="B131" s="2" t="s">
        <v>381</v>
      </c>
      <c r="C131" s="2" t="s">
        <v>556</v>
      </c>
      <c r="D131" s="2" t="s">
        <v>556</v>
      </c>
      <c r="E131" s="2" t="s">
        <v>557</v>
      </c>
      <c r="F131" s="2" t="s">
        <v>240</v>
      </c>
      <c r="G131">
        <v>48</v>
      </c>
      <c r="H131" s="3"/>
      <c r="I131" s="3">
        <v>46069.757662037038</v>
      </c>
    </row>
    <row r="132" spans="1:9" x14ac:dyDescent="0.25">
      <c r="A132">
        <v>469</v>
      </c>
      <c r="B132" s="2" t="s">
        <v>356</v>
      </c>
      <c r="C132" s="2" t="s">
        <v>558</v>
      </c>
      <c r="D132" s="2" t="s">
        <v>558</v>
      </c>
      <c r="E132" s="2" t="s">
        <v>559</v>
      </c>
      <c r="F132" s="2" t="s">
        <v>240</v>
      </c>
      <c r="G132">
        <v>49</v>
      </c>
      <c r="H132" s="3"/>
      <c r="I132" s="3">
        <v>46069.757662037038</v>
      </c>
    </row>
    <row r="133" spans="1:9" x14ac:dyDescent="0.25">
      <c r="A133">
        <v>470</v>
      </c>
      <c r="B133" s="2" t="s">
        <v>386</v>
      </c>
      <c r="C133" s="2" t="s">
        <v>560</v>
      </c>
      <c r="D133" s="2" t="s">
        <v>560</v>
      </c>
      <c r="E133" s="2" t="s">
        <v>561</v>
      </c>
      <c r="F133" s="2" t="s">
        <v>240</v>
      </c>
      <c r="G133">
        <v>50</v>
      </c>
      <c r="H133" s="3"/>
      <c r="I133" s="3">
        <v>46069.757662037038</v>
      </c>
    </row>
    <row r="134" spans="1:9" x14ac:dyDescent="0.25">
      <c r="A134">
        <v>471</v>
      </c>
      <c r="B134" s="2" t="s">
        <v>356</v>
      </c>
      <c r="C134" s="2" t="s">
        <v>562</v>
      </c>
      <c r="D134" s="2" t="s">
        <v>562</v>
      </c>
      <c r="E134" s="2" t="s">
        <v>563</v>
      </c>
      <c r="F134" s="2" t="s">
        <v>240</v>
      </c>
      <c r="G134">
        <v>51</v>
      </c>
      <c r="H134" s="3"/>
      <c r="I134" s="3">
        <v>46069.757662037038</v>
      </c>
    </row>
    <row r="135" spans="1:9" x14ac:dyDescent="0.25">
      <c r="A135">
        <v>472</v>
      </c>
      <c r="B135" s="2" t="s">
        <v>391</v>
      </c>
      <c r="C135" s="2" t="s">
        <v>564</v>
      </c>
      <c r="D135" s="2" t="s">
        <v>564</v>
      </c>
      <c r="E135" s="2" t="s">
        <v>565</v>
      </c>
      <c r="F135" s="2" t="s">
        <v>240</v>
      </c>
      <c r="G135">
        <v>52</v>
      </c>
      <c r="H135" s="3"/>
      <c r="I135" s="3">
        <v>46069.757662037038</v>
      </c>
    </row>
    <row r="136" spans="1:9" x14ac:dyDescent="0.25">
      <c r="A136">
        <v>473</v>
      </c>
      <c r="B136" s="2" t="s">
        <v>344</v>
      </c>
      <c r="C136" s="2" t="s">
        <v>566</v>
      </c>
      <c r="D136" s="2" t="s">
        <v>566</v>
      </c>
      <c r="E136" s="2" t="s">
        <v>567</v>
      </c>
      <c r="F136" s="2" t="s">
        <v>240</v>
      </c>
      <c r="G136">
        <v>53</v>
      </c>
      <c r="H136" s="3"/>
      <c r="I136" s="3">
        <v>46069.757673611108</v>
      </c>
    </row>
    <row r="137" spans="1:9" x14ac:dyDescent="0.25">
      <c r="A137">
        <v>474</v>
      </c>
      <c r="B137" s="2" t="s">
        <v>396</v>
      </c>
      <c r="C137" s="2" t="s">
        <v>568</v>
      </c>
      <c r="D137" s="2" t="s">
        <v>568</v>
      </c>
      <c r="E137" s="2" t="s">
        <v>569</v>
      </c>
      <c r="F137" s="2" t="s">
        <v>240</v>
      </c>
      <c r="G137">
        <v>54</v>
      </c>
      <c r="H137" s="3"/>
      <c r="I137" s="3">
        <v>46069.757673611108</v>
      </c>
    </row>
    <row r="138" spans="1:9" x14ac:dyDescent="0.25">
      <c r="A138">
        <v>475</v>
      </c>
      <c r="B138" s="2" t="s">
        <v>273</v>
      </c>
      <c r="C138" s="2" t="s">
        <v>570</v>
      </c>
      <c r="D138" s="2" t="s">
        <v>570</v>
      </c>
      <c r="E138" s="2" t="s">
        <v>571</v>
      </c>
      <c r="F138" s="2" t="s">
        <v>240</v>
      </c>
      <c r="G138">
        <v>55</v>
      </c>
      <c r="H138" s="3"/>
      <c r="I138" s="3">
        <v>46069.757673611108</v>
      </c>
    </row>
    <row r="139" spans="1:9" x14ac:dyDescent="0.25">
      <c r="A139">
        <v>476</v>
      </c>
      <c r="B139" s="2" t="s">
        <v>401</v>
      </c>
      <c r="C139" s="2" t="s">
        <v>572</v>
      </c>
      <c r="D139" s="2" t="s">
        <v>572</v>
      </c>
      <c r="E139" s="2" t="s">
        <v>573</v>
      </c>
      <c r="F139" s="2" t="s">
        <v>240</v>
      </c>
      <c r="G139">
        <v>56</v>
      </c>
      <c r="H139" s="3"/>
      <c r="I139" s="3">
        <v>46069.757673611108</v>
      </c>
    </row>
    <row r="140" spans="1:9" x14ac:dyDescent="0.25">
      <c r="A140">
        <v>477</v>
      </c>
      <c r="B140" s="2" t="s">
        <v>252</v>
      </c>
      <c r="C140" s="2" t="s">
        <v>574</v>
      </c>
      <c r="D140" s="2" t="s">
        <v>574</v>
      </c>
      <c r="E140" s="2" t="s">
        <v>575</v>
      </c>
      <c r="F140" s="2" t="s">
        <v>240</v>
      </c>
      <c r="G140">
        <v>57</v>
      </c>
      <c r="H140" s="3"/>
      <c r="I140" s="3">
        <v>46069.757673611108</v>
      </c>
    </row>
    <row r="141" spans="1:9" x14ac:dyDescent="0.25">
      <c r="A141">
        <v>478</v>
      </c>
      <c r="B141" s="2" t="s">
        <v>406</v>
      </c>
      <c r="C141" s="2" t="s">
        <v>576</v>
      </c>
      <c r="D141" s="2" t="s">
        <v>576</v>
      </c>
      <c r="E141" s="2" t="s">
        <v>577</v>
      </c>
      <c r="F141" s="2" t="s">
        <v>240</v>
      </c>
      <c r="G141">
        <v>58</v>
      </c>
      <c r="H141" s="3"/>
      <c r="I141" s="3">
        <v>46069.757673611108</v>
      </c>
    </row>
    <row r="142" spans="1:9" x14ac:dyDescent="0.25">
      <c r="A142">
        <v>479</v>
      </c>
      <c r="B142" s="2" t="s">
        <v>409</v>
      </c>
      <c r="C142" s="2" t="s">
        <v>578</v>
      </c>
      <c r="D142" s="2" t="s">
        <v>578</v>
      </c>
      <c r="E142" s="2" t="s">
        <v>579</v>
      </c>
      <c r="F142" s="2" t="s">
        <v>240</v>
      </c>
      <c r="G142">
        <v>59</v>
      </c>
      <c r="H142" s="3"/>
      <c r="I142" s="3">
        <v>46069.757673611108</v>
      </c>
    </row>
    <row r="143" spans="1:9" x14ac:dyDescent="0.25">
      <c r="A143">
        <v>480</v>
      </c>
      <c r="B143" s="2" t="s">
        <v>412</v>
      </c>
      <c r="C143" s="2" t="s">
        <v>580</v>
      </c>
      <c r="D143" s="2" t="s">
        <v>580</v>
      </c>
      <c r="E143" s="2" t="s">
        <v>581</v>
      </c>
      <c r="F143" s="2" t="s">
        <v>240</v>
      </c>
      <c r="G143">
        <v>60</v>
      </c>
      <c r="H143" s="3"/>
      <c r="I143" s="3">
        <v>46069.757673611108</v>
      </c>
    </row>
    <row r="144" spans="1:9" x14ac:dyDescent="0.25">
      <c r="A144">
        <v>481</v>
      </c>
      <c r="B144" s="2" t="s">
        <v>415</v>
      </c>
      <c r="C144" s="2" t="s">
        <v>582</v>
      </c>
      <c r="D144" s="2" t="s">
        <v>582</v>
      </c>
      <c r="E144" s="2" t="s">
        <v>583</v>
      </c>
      <c r="F144" s="2" t="s">
        <v>240</v>
      </c>
      <c r="G144">
        <v>61</v>
      </c>
      <c r="H144" s="3"/>
      <c r="I144" s="3">
        <v>46069.757673611108</v>
      </c>
    </row>
    <row r="145" spans="1:9" x14ac:dyDescent="0.25">
      <c r="A145">
        <v>482</v>
      </c>
      <c r="B145" s="2" t="s">
        <v>418</v>
      </c>
      <c r="C145" s="2" t="s">
        <v>584</v>
      </c>
      <c r="D145" s="2" t="s">
        <v>584</v>
      </c>
      <c r="E145" s="2" t="s">
        <v>585</v>
      </c>
      <c r="F145" s="2" t="s">
        <v>240</v>
      </c>
      <c r="G145">
        <v>62</v>
      </c>
      <c r="H145" s="3"/>
      <c r="I145" s="3">
        <v>46069.757673611108</v>
      </c>
    </row>
    <row r="146" spans="1:9" x14ac:dyDescent="0.25">
      <c r="A146">
        <v>483</v>
      </c>
      <c r="B146" s="2" t="s">
        <v>421</v>
      </c>
      <c r="C146" s="2" t="s">
        <v>586</v>
      </c>
      <c r="D146" s="2" t="s">
        <v>586</v>
      </c>
      <c r="E146" s="2" t="s">
        <v>587</v>
      </c>
      <c r="F146" s="2" t="s">
        <v>240</v>
      </c>
      <c r="G146">
        <v>63</v>
      </c>
      <c r="H146" s="3"/>
      <c r="I146" s="3">
        <v>46069.757673611108</v>
      </c>
    </row>
    <row r="147" spans="1:9" x14ac:dyDescent="0.25">
      <c r="A147">
        <v>484</v>
      </c>
      <c r="B147" s="2" t="s">
        <v>264</v>
      </c>
      <c r="C147" s="2" t="s">
        <v>588</v>
      </c>
      <c r="D147" s="2" t="s">
        <v>588</v>
      </c>
      <c r="E147" s="2" t="s">
        <v>589</v>
      </c>
      <c r="F147" s="2" t="s">
        <v>240</v>
      </c>
      <c r="G147">
        <v>64</v>
      </c>
      <c r="H147" s="3"/>
      <c r="I147" s="3">
        <v>46069.757673611108</v>
      </c>
    </row>
    <row r="148" spans="1:9" x14ac:dyDescent="0.25">
      <c r="A148">
        <v>485</v>
      </c>
      <c r="B148" s="2" t="s">
        <v>426</v>
      </c>
      <c r="C148" s="2" t="s">
        <v>590</v>
      </c>
      <c r="D148" s="2" t="s">
        <v>590</v>
      </c>
      <c r="E148" s="2" t="s">
        <v>591</v>
      </c>
      <c r="F148" s="2" t="s">
        <v>240</v>
      </c>
      <c r="G148">
        <v>65</v>
      </c>
      <c r="H148" s="3"/>
      <c r="I148" s="3">
        <v>46069.757673611108</v>
      </c>
    </row>
    <row r="149" spans="1:9" x14ac:dyDescent="0.25">
      <c r="A149">
        <v>486</v>
      </c>
      <c r="B149" s="2" t="s">
        <v>429</v>
      </c>
      <c r="C149" s="2" t="s">
        <v>592</v>
      </c>
      <c r="D149" s="2" t="s">
        <v>592</v>
      </c>
      <c r="E149" s="2" t="s">
        <v>593</v>
      </c>
      <c r="F149" s="2" t="s">
        <v>240</v>
      </c>
      <c r="G149">
        <v>66</v>
      </c>
      <c r="H149" s="3"/>
      <c r="I149" s="3">
        <v>46069.757673611108</v>
      </c>
    </row>
    <row r="150" spans="1:9" x14ac:dyDescent="0.25">
      <c r="A150">
        <v>487</v>
      </c>
      <c r="B150" s="2" t="s">
        <v>432</v>
      </c>
      <c r="C150" s="2" t="s">
        <v>594</v>
      </c>
      <c r="D150" s="2" t="s">
        <v>594</v>
      </c>
      <c r="E150" s="2" t="s">
        <v>595</v>
      </c>
      <c r="F150" s="2" t="s">
        <v>240</v>
      </c>
      <c r="G150">
        <v>67</v>
      </c>
      <c r="H150" s="3"/>
      <c r="I150" s="3">
        <v>46069.757673611108</v>
      </c>
    </row>
    <row r="151" spans="1:9" x14ac:dyDescent="0.25">
      <c r="A151">
        <v>488</v>
      </c>
      <c r="B151" s="2" t="s">
        <v>435</v>
      </c>
      <c r="C151" s="2" t="s">
        <v>596</v>
      </c>
      <c r="D151" s="2" t="s">
        <v>596</v>
      </c>
      <c r="E151" s="2" t="s">
        <v>597</v>
      </c>
      <c r="F151" s="2" t="s">
        <v>240</v>
      </c>
      <c r="G151">
        <v>68</v>
      </c>
      <c r="H151" s="3"/>
      <c r="I151" s="3">
        <v>46069.757673611108</v>
      </c>
    </row>
    <row r="152" spans="1:9" x14ac:dyDescent="0.25">
      <c r="A152">
        <v>489</v>
      </c>
      <c r="B152" s="2" t="s">
        <v>438</v>
      </c>
      <c r="C152" s="2" t="s">
        <v>598</v>
      </c>
      <c r="D152" s="2" t="s">
        <v>598</v>
      </c>
      <c r="E152" s="2" t="s">
        <v>599</v>
      </c>
      <c r="F152" s="2" t="s">
        <v>240</v>
      </c>
      <c r="G152">
        <v>69</v>
      </c>
      <c r="H152" s="3"/>
      <c r="I152" s="3">
        <v>46069.757673611108</v>
      </c>
    </row>
    <row r="153" spans="1:9" x14ac:dyDescent="0.25">
      <c r="A153">
        <v>490</v>
      </c>
      <c r="B153" s="2" t="s">
        <v>441</v>
      </c>
      <c r="C153" s="2" t="s">
        <v>600</v>
      </c>
      <c r="D153" s="2" t="s">
        <v>600</v>
      </c>
      <c r="E153" s="2" t="s">
        <v>601</v>
      </c>
      <c r="F153" s="2" t="s">
        <v>240</v>
      </c>
      <c r="G153">
        <v>70</v>
      </c>
      <c r="H153" s="3"/>
      <c r="I153" s="3">
        <v>46069.757673611108</v>
      </c>
    </row>
    <row r="154" spans="1:9" x14ac:dyDescent="0.25">
      <c r="A154">
        <v>491</v>
      </c>
      <c r="B154" s="2" t="s">
        <v>361</v>
      </c>
      <c r="C154" s="2" t="s">
        <v>602</v>
      </c>
      <c r="D154" s="2" t="s">
        <v>602</v>
      </c>
      <c r="E154" s="2" t="s">
        <v>603</v>
      </c>
      <c r="F154" s="2" t="s">
        <v>240</v>
      </c>
      <c r="G154">
        <v>71</v>
      </c>
      <c r="H154" s="3"/>
      <c r="I154" s="3">
        <v>46069.757673611108</v>
      </c>
    </row>
    <row r="155" spans="1:9" x14ac:dyDescent="0.25">
      <c r="A155">
        <v>492</v>
      </c>
      <c r="B155" s="2" t="s">
        <v>446</v>
      </c>
      <c r="C155" s="2" t="s">
        <v>604</v>
      </c>
      <c r="D155" s="2" t="s">
        <v>604</v>
      </c>
      <c r="E155" s="2" t="s">
        <v>605</v>
      </c>
      <c r="F155" s="2" t="s">
        <v>240</v>
      </c>
      <c r="G155">
        <v>72</v>
      </c>
      <c r="H155" s="3"/>
      <c r="I155" s="3">
        <v>46069.757673611108</v>
      </c>
    </row>
    <row r="156" spans="1:9" x14ac:dyDescent="0.25">
      <c r="A156">
        <v>493</v>
      </c>
      <c r="B156" s="2" t="s">
        <v>449</v>
      </c>
      <c r="C156" s="2" t="s">
        <v>606</v>
      </c>
      <c r="D156" s="2" t="s">
        <v>606</v>
      </c>
      <c r="E156" s="2" t="s">
        <v>607</v>
      </c>
      <c r="F156" s="2" t="s">
        <v>240</v>
      </c>
      <c r="G156">
        <v>73</v>
      </c>
      <c r="H156" s="3"/>
      <c r="I156" s="3">
        <v>46069.757685185185</v>
      </c>
    </row>
    <row r="157" spans="1:9" x14ac:dyDescent="0.25">
      <c r="A157">
        <v>494</v>
      </c>
      <c r="B157" s="2" t="s">
        <v>452</v>
      </c>
      <c r="C157" s="2" t="s">
        <v>608</v>
      </c>
      <c r="D157" s="2" t="s">
        <v>608</v>
      </c>
      <c r="E157" s="2" t="s">
        <v>609</v>
      </c>
      <c r="F157" s="2" t="s">
        <v>240</v>
      </c>
      <c r="G157">
        <v>74</v>
      </c>
      <c r="H157" s="3"/>
      <c r="I157" s="3">
        <v>46069.757685185185</v>
      </c>
    </row>
    <row r="158" spans="1:9" x14ac:dyDescent="0.25">
      <c r="A158">
        <v>495</v>
      </c>
      <c r="B158" s="2" t="s">
        <v>455</v>
      </c>
      <c r="C158" s="2" t="s">
        <v>610</v>
      </c>
      <c r="D158" s="2" t="s">
        <v>610</v>
      </c>
      <c r="E158" s="2" t="s">
        <v>611</v>
      </c>
      <c r="F158" s="2" t="s">
        <v>240</v>
      </c>
      <c r="G158">
        <v>75</v>
      </c>
      <c r="H158" s="3"/>
      <c r="I158" s="3">
        <v>46069.757685185185</v>
      </c>
    </row>
    <row r="159" spans="1:9" x14ac:dyDescent="0.25">
      <c r="A159">
        <v>496</v>
      </c>
      <c r="B159" s="2" t="s">
        <v>458</v>
      </c>
      <c r="C159" s="2" t="s">
        <v>612</v>
      </c>
      <c r="D159" s="2" t="s">
        <v>612</v>
      </c>
      <c r="E159" s="2" t="s">
        <v>613</v>
      </c>
      <c r="F159" s="2" t="s">
        <v>240</v>
      </c>
      <c r="G159">
        <v>76</v>
      </c>
      <c r="H159" s="3"/>
      <c r="I159" s="3">
        <v>46069.757685185185</v>
      </c>
    </row>
    <row r="160" spans="1:9" x14ac:dyDescent="0.25">
      <c r="A160">
        <v>497</v>
      </c>
      <c r="B160" s="2" t="s">
        <v>461</v>
      </c>
      <c r="C160" s="2" t="s">
        <v>614</v>
      </c>
      <c r="D160" s="2" t="s">
        <v>614</v>
      </c>
      <c r="E160" s="2" t="s">
        <v>615</v>
      </c>
      <c r="F160" s="2" t="s">
        <v>240</v>
      </c>
      <c r="G160">
        <v>77</v>
      </c>
      <c r="H160" s="3"/>
      <c r="I160" s="3">
        <v>46069.757685185185</v>
      </c>
    </row>
    <row r="161" spans="1:9" x14ac:dyDescent="0.25">
      <c r="A161">
        <v>888</v>
      </c>
      <c r="B161" s="2" t="s">
        <v>616</v>
      </c>
      <c r="C161" s="2" t="s">
        <v>143</v>
      </c>
      <c r="D161" s="2" t="s">
        <v>143</v>
      </c>
      <c r="E161" s="2" t="s">
        <v>617</v>
      </c>
      <c r="F161" s="2" t="s">
        <v>240</v>
      </c>
      <c r="G161">
        <v>78</v>
      </c>
      <c r="H161" s="3">
        <v>46069.812743055554</v>
      </c>
      <c r="I161" s="3">
        <v>46069.759814814817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7792-6047-4B01-803D-AEE343D53015}">
  <dimension ref="A3:C20"/>
  <sheetViews>
    <sheetView workbookViewId="0">
      <selection activeCell="A3" sqref="A3"/>
    </sheetView>
  </sheetViews>
  <sheetFormatPr defaultRowHeight="15" x14ac:dyDescent="0.25"/>
  <cols>
    <col min="1" max="5" width="16.28515625" bestFit="1" customWidth="1"/>
    <col min="6" max="7" width="11.28515625" bestFit="1" customWidth="1"/>
  </cols>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9967-5585-4321-A5C7-61CE5F57170A}">
  <dimension ref="A1:G6"/>
  <sheetViews>
    <sheetView workbookViewId="0"/>
  </sheetViews>
  <sheetFormatPr defaultRowHeight="15" x14ac:dyDescent="0.25"/>
  <cols>
    <col min="1" max="1" width="5" bestFit="1" customWidth="1"/>
    <col min="2" max="2" width="10.140625" bestFit="1" customWidth="1"/>
    <col min="3" max="3" width="15.140625" bestFit="1" customWidth="1"/>
    <col min="4" max="4" width="12.42578125" bestFit="1" customWidth="1"/>
    <col min="5" max="5" width="11.85546875" bestFit="1" customWidth="1"/>
    <col min="6" max="6" width="10.140625" bestFit="1" customWidth="1"/>
    <col min="7" max="7" width="14.85546875" bestFit="1" customWidth="1"/>
  </cols>
  <sheetData>
    <row r="1" spans="1:7" x14ac:dyDescent="0.25">
      <c r="A1" t="s">
        <v>0</v>
      </c>
      <c r="B1" t="s">
        <v>9</v>
      </c>
      <c r="C1" t="s">
        <v>209</v>
      </c>
      <c r="D1" t="s">
        <v>210</v>
      </c>
      <c r="E1" t="s">
        <v>211</v>
      </c>
      <c r="F1" t="s">
        <v>212</v>
      </c>
      <c r="G1" t="s">
        <v>5</v>
      </c>
    </row>
    <row r="2" spans="1:7" x14ac:dyDescent="0.25">
      <c r="A2">
        <v>1</v>
      </c>
      <c r="B2">
        <v>1</v>
      </c>
      <c r="C2" s="2" t="s">
        <v>213</v>
      </c>
      <c r="D2" s="4">
        <v>0.3125</v>
      </c>
      <c r="E2" s="4">
        <v>0.375</v>
      </c>
      <c r="F2" s="2" t="s">
        <v>214</v>
      </c>
      <c r="G2" s="3">
        <v>46068.472546296296</v>
      </c>
    </row>
    <row r="3" spans="1:7" x14ac:dyDescent="0.25">
      <c r="A3">
        <v>2</v>
      </c>
      <c r="B3">
        <v>5</v>
      </c>
      <c r="C3" s="2" t="s">
        <v>215</v>
      </c>
      <c r="D3" s="4">
        <v>0.54166666666666663</v>
      </c>
      <c r="E3" s="4">
        <v>0.625</v>
      </c>
      <c r="F3" s="2" t="s">
        <v>216</v>
      </c>
      <c r="G3" s="3">
        <v>46068.490335648145</v>
      </c>
    </row>
    <row r="4" spans="1:7" x14ac:dyDescent="0.25">
      <c r="A4">
        <v>3</v>
      </c>
      <c r="B4">
        <v>4</v>
      </c>
      <c r="C4" s="2" t="s">
        <v>217</v>
      </c>
      <c r="D4" s="4">
        <v>0.375</v>
      </c>
      <c r="E4" s="4">
        <v>0.49930555555555556</v>
      </c>
      <c r="F4" s="2" t="s">
        <v>218</v>
      </c>
      <c r="G4" s="3">
        <v>46068.490972222222</v>
      </c>
    </row>
    <row r="5" spans="1:7" x14ac:dyDescent="0.25">
      <c r="A5">
        <v>4</v>
      </c>
      <c r="B5">
        <v>3</v>
      </c>
      <c r="C5" s="2" t="s">
        <v>219</v>
      </c>
      <c r="D5" s="4">
        <v>0.60416666666666663</v>
      </c>
      <c r="E5" s="4">
        <v>0.66666666666666663</v>
      </c>
      <c r="F5" s="2" t="s">
        <v>220</v>
      </c>
      <c r="G5" s="3">
        <v>46068.49145833333</v>
      </c>
    </row>
    <row r="6" spans="1:7" x14ac:dyDescent="0.25">
      <c r="A6">
        <v>5</v>
      </c>
      <c r="B6">
        <v>2</v>
      </c>
      <c r="C6" s="2" t="s">
        <v>221</v>
      </c>
      <c r="D6" s="4">
        <v>0.3125</v>
      </c>
      <c r="E6" s="4">
        <v>0.4375</v>
      </c>
      <c r="F6" s="2" t="s">
        <v>222</v>
      </c>
      <c r="G6" s="3">
        <v>46068.491909722223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12E5-0D4A-4994-A1DB-D256BF2D668B}">
  <dimension ref="A1:G26"/>
  <sheetViews>
    <sheetView workbookViewId="0"/>
  </sheetViews>
  <sheetFormatPr defaultRowHeight="15" x14ac:dyDescent="0.25"/>
  <cols>
    <col min="1" max="1" width="5" bestFit="1" customWidth="1"/>
    <col min="2" max="2" width="12.85546875" bestFit="1" customWidth="1"/>
    <col min="3" max="3" width="9.85546875" bestFit="1" customWidth="1"/>
    <col min="4" max="4" width="13.28515625" bestFit="1" customWidth="1"/>
    <col min="5" max="5" width="33.42578125" bestFit="1" customWidth="1"/>
    <col min="6" max="6" width="35.5703125" bestFit="1" customWidth="1"/>
    <col min="7" max="7" width="14.85546875" bestFit="1" customWidth="1"/>
  </cols>
  <sheetData>
    <row r="1" spans="1:7" x14ac:dyDescent="0.25">
      <c r="A1" t="s">
        <v>0</v>
      </c>
      <c r="B1" t="s">
        <v>1</v>
      </c>
      <c r="C1" t="s">
        <v>174</v>
      </c>
      <c r="D1" t="s">
        <v>175</v>
      </c>
      <c r="E1" t="s">
        <v>176</v>
      </c>
      <c r="F1" t="s">
        <v>177</v>
      </c>
      <c r="G1" t="s">
        <v>5</v>
      </c>
    </row>
    <row r="2" spans="1:7" x14ac:dyDescent="0.25">
      <c r="A2">
        <v>1</v>
      </c>
      <c r="B2">
        <v>53</v>
      </c>
      <c r="C2">
        <v>1</v>
      </c>
      <c r="D2" s="2" t="s">
        <v>178</v>
      </c>
      <c r="E2" s="2" t="s">
        <v>179</v>
      </c>
      <c r="F2" s="2" t="s">
        <v>180</v>
      </c>
      <c r="G2" s="3">
        <v>46069.599479166667</v>
      </c>
    </row>
    <row r="3" spans="1:7" x14ac:dyDescent="0.25">
      <c r="A3">
        <v>2</v>
      </c>
      <c r="B3">
        <v>53</v>
      </c>
      <c r="C3">
        <v>1</v>
      </c>
      <c r="D3" s="2" t="s">
        <v>181</v>
      </c>
      <c r="E3" s="2" t="s">
        <v>182</v>
      </c>
      <c r="F3" s="2" t="s">
        <v>183</v>
      </c>
      <c r="G3" s="3">
        <v>46069.599479166667</v>
      </c>
    </row>
    <row r="4" spans="1:7" x14ac:dyDescent="0.25">
      <c r="A4">
        <v>3</v>
      </c>
      <c r="B4">
        <v>53</v>
      </c>
      <c r="C4">
        <v>1</v>
      </c>
      <c r="D4" s="2" t="s">
        <v>184</v>
      </c>
      <c r="E4" s="2" t="s">
        <v>185</v>
      </c>
      <c r="F4" s="2" t="s">
        <v>186</v>
      </c>
      <c r="G4" s="3">
        <v>46069.599479166667</v>
      </c>
    </row>
    <row r="5" spans="1:7" x14ac:dyDescent="0.25">
      <c r="A5">
        <v>4</v>
      </c>
      <c r="B5">
        <v>53</v>
      </c>
      <c r="C5">
        <v>2</v>
      </c>
      <c r="D5" s="2" t="s">
        <v>181</v>
      </c>
      <c r="E5" s="2" t="s">
        <v>187</v>
      </c>
      <c r="F5" s="2" t="s">
        <v>188</v>
      </c>
      <c r="G5" s="3">
        <v>46069.602916666663</v>
      </c>
    </row>
    <row r="6" spans="1:7" x14ac:dyDescent="0.25">
      <c r="A6">
        <v>5</v>
      </c>
      <c r="B6">
        <v>53</v>
      </c>
      <c r="C6">
        <v>2</v>
      </c>
      <c r="D6" s="2" t="s">
        <v>184</v>
      </c>
      <c r="E6" s="2" t="s">
        <v>189</v>
      </c>
      <c r="F6" s="2" t="s">
        <v>186</v>
      </c>
      <c r="G6" s="3">
        <v>46069.602916666663</v>
      </c>
    </row>
    <row r="7" spans="1:7" x14ac:dyDescent="0.25">
      <c r="A7">
        <v>6</v>
      </c>
      <c r="B7">
        <v>53</v>
      </c>
      <c r="C7">
        <v>2</v>
      </c>
      <c r="D7" s="2" t="s">
        <v>178</v>
      </c>
      <c r="E7" s="2" t="s">
        <v>190</v>
      </c>
      <c r="F7" s="2" t="s">
        <v>180</v>
      </c>
      <c r="G7" s="3">
        <v>46069.602916666663</v>
      </c>
    </row>
    <row r="8" spans="1:7" x14ac:dyDescent="0.25">
      <c r="A8">
        <v>7</v>
      </c>
      <c r="B8">
        <v>53</v>
      </c>
      <c r="C8">
        <v>3</v>
      </c>
      <c r="D8" s="2" t="s">
        <v>181</v>
      </c>
      <c r="E8" s="2" t="s">
        <v>191</v>
      </c>
      <c r="F8" s="2" t="s">
        <v>188</v>
      </c>
      <c r="G8" s="3">
        <v>46069.603402777779</v>
      </c>
    </row>
    <row r="9" spans="1:7" x14ac:dyDescent="0.25">
      <c r="A9">
        <v>8</v>
      </c>
      <c r="B9">
        <v>53</v>
      </c>
      <c r="C9">
        <v>3</v>
      </c>
      <c r="D9" s="2" t="s">
        <v>178</v>
      </c>
      <c r="E9" s="2" t="s">
        <v>192</v>
      </c>
      <c r="F9" s="2" t="s">
        <v>180</v>
      </c>
      <c r="G9" s="3">
        <v>46069.603402777779</v>
      </c>
    </row>
    <row r="10" spans="1:7" x14ac:dyDescent="0.25">
      <c r="A10">
        <v>9</v>
      </c>
      <c r="B10">
        <v>53</v>
      </c>
      <c r="C10">
        <v>3</v>
      </c>
      <c r="D10" s="2" t="s">
        <v>184</v>
      </c>
      <c r="E10" s="2" t="s">
        <v>193</v>
      </c>
      <c r="F10" s="2" t="s">
        <v>186</v>
      </c>
      <c r="G10" s="3">
        <v>46069.603402777779</v>
      </c>
    </row>
    <row r="11" spans="1:7" x14ac:dyDescent="0.25">
      <c r="A11">
        <v>10</v>
      </c>
      <c r="B11">
        <v>53</v>
      </c>
      <c r="C11">
        <v>4</v>
      </c>
      <c r="D11" s="2" t="s">
        <v>181</v>
      </c>
      <c r="E11" s="2" t="s">
        <v>194</v>
      </c>
      <c r="F11" s="2" t="s">
        <v>188</v>
      </c>
      <c r="G11" s="3">
        <v>46069.603993055556</v>
      </c>
    </row>
    <row r="12" spans="1:7" x14ac:dyDescent="0.25">
      <c r="A12">
        <v>11</v>
      </c>
      <c r="B12">
        <v>53</v>
      </c>
      <c r="C12">
        <v>4</v>
      </c>
      <c r="D12" s="2" t="s">
        <v>178</v>
      </c>
      <c r="E12" s="2" t="s">
        <v>180</v>
      </c>
      <c r="F12" s="2" t="s">
        <v>180</v>
      </c>
      <c r="G12" s="3">
        <v>46069.603993055556</v>
      </c>
    </row>
    <row r="13" spans="1:7" x14ac:dyDescent="0.25">
      <c r="A13">
        <v>12</v>
      </c>
      <c r="B13">
        <v>53</v>
      </c>
      <c r="C13">
        <v>4</v>
      </c>
      <c r="D13" s="2" t="s">
        <v>184</v>
      </c>
      <c r="E13" s="2" t="s">
        <v>195</v>
      </c>
      <c r="F13" s="2" t="s">
        <v>186</v>
      </c>
      <c r="G13" s="3">
        <v>46069.603993055556</v>
      </c>
    </row>
    <row r="14" spans="1:7" x14ac:dyDescent="0.25">
      <c r="A14">
        <v>19</v>
      </c>
      <c r="B14">
        <v>63</v>
      </c>
      <c r="C14">
        <v>1</v>
      </c>
      <c r="D14" s="2" t="s">
        <v>178</v>
      </c>
      <c r="E14" s="2" t="s">
        <v>196</v>
      </c>
      <c r="F14" s="2" t="s">
        <v>180</v>
      </c>
      <c r="G14" s="3">
        <v>46069.612222222226</v>
      </c>
    </row>
    <row r="15" spans="1:7" x14ac:dyDescent="0.25">
      <c r="A15">
        <v>20</v>
      </c>
      <c r="B15">
        <v>63</v>
      </c>
      <c r="C15">
        <v>1</v>
      </c>
      <c r="D15" s="2" t="s">
        <v>181</v>
      </c>
      <c r="E15" s="2" t="s">
        <v>197</v>
      </c>
      <c r="F15" s="2" t="s">
        <v>183</v>
      </c>
      <c r="G15" s="3">
        <v>46069.612222222226</v>
      </c>
    </row>
    <row r="16" spans="1:7" x14ac:dyDescent="0.25">
      <c r="A16">
        <v>21</v>
      </c>
      <c r="B16">
        <v>63</v>
      </c>
      <c r="C16">
        <v>1</v>
      </c>
      <c r="D16" s="2" t="s">
        <v>184</v>
      </c>
      <c r="E16" s="2" t="s">
        <v>198</v>
      </c>
      <c r="F16" s="2" t="s">
        <v>186</v>
      </c>
      <c r="G16" s="3">
        <v>46069.612222222226</v>
      </c>
    </row>
    <row r="17" spans="1:7" x14ac:dyDescent="0.25">
      <c r="A17">
        <v>22</v>
      </c>
      <c r="B17">
        <v>63</v>
      </c>
      <c r="C17">
        <v>2</v>
      </c>
      <c r="D17" s="2" t="s">
        <v>181</v>
      </c>
      <c r="E17" s="2" t="s">
        <v>199</v>
      </c>
      <c r="F17" s="2" t="s">
        <v>188</v>
      </c>
      <c r="G17" s="3">
        <v>46069.612743055557</v>
      </c>
    </row>
    <row r="18" spans="1:7" x14ac:dyDescent="0.25">
      <c r="A18">
        <v>23</v>
      </c>
      <c r="B18">
        <v>63</v>
      </c>
      <c r="C18">
        <v>2</v>
      </c>
      <c r="D18" s="2" t="s">
        <v>178</v>
      </c>
      <c r="E18" s="2" t="s">
        <v>200</v>
      </c>
      <c r="F18" s="2" t="s">
        <v>180</v>
      </c>
      <c r="G18" s="3">
        <v>46069.612743055557</v>
      </c>
    </row>
    <row r="19" spans="1:7" x14ac:dyDescent="0.25">
      <c r="A19">
        <v>24</v>
      </c>
      <c r="B19">
        <v>63</v>
      </c>
      <c r="C19">
        <v>2</v>
      </c>
      <c r="D19" s="2" t="s">
        <v>184</v>
      </c>
      <c r="E19" s="2" t="s">
        <v>201</v>
      </c>
      <c r="F19" s="2" t="s">
        <v>186</v>
      </c>
      <c r="G19" s="3">
        <v>46069.612743055557</v>
      </c>
    </row>
    <row r="20" spans="1:7" x14ac:dyDescent="0.25">
      <c r="A20">
        <v>25</v>
      </c>
      <c r="B20">
        <v>63</v>
      </c>
      <c r="C20">
        <v>3</v>
      </c>
      <c r="D20" s="2" t="s">
        <v>181</v>
      </c>
      <c r="E20" s="2" t="s">
        <v>202</v>
      </c>
      <c r="F20" s="2" t="s">
        <v>188</v>
      </c>
      <c r="G20" s="3">
        <v>46069.614155092589</v>
      </c>
    </row>
    <row r="21" spans="1:7" x14ac:dyDescent="0.25">
      <c r="A21">
        <v>26</v>
      </c>
      <c r="B21">
        <v>63</v>
      </c>
      <c r="C21">
        <v>3</v>
      </c>
      <c r="D21" s="2" t="s">
        <v>184</v>
      </c>
      <c r="E21" s="2" t="s">
        <v>201</v>
      </c>
      <c r="F21" s="2" t="s">
        <v>186</v>
      </c>
      <c r="G21" s="3">
        <v>46069.614155092589</v>
      </c>
    </row>
    <row r="22" spans="1:7" x14ac:dyDescent="0.25">
      <c r="A22">
        <v>27</v>
      </c>
      <c r="B22">
        <v>63</v>
      </c>
      <c r="C22">
        <v>3</v>
      </c>
      <c r="D22" s="2" t="s">
        <v>178</v>
      </c>
      <c r="E22" s="2" t="s">
        <v>203</v>
      </c>
      <c r="F22" s="2" t="s">
        <v>180</v>
      </c>
      <c r="G22" s="3">
        <v>46069.614155092589</v>
      </c>
    </row>
    <row r="23" spans="1:7" x14ac:dyDescent="0.25">
      <c r="A23">
        <v>31</v>
      </c>
      <c r="B23">
        <v>63</v>
      </c>
      <c r="C23">
        <v>4</v>
      </c>
      <c r="D23" s="2" t="s">
        <v>181</v>
      </c>
      <c r="E23" s="2" t="s">
        <v>204</v>
      </c>
      <c r="F23" s="2" t="s">
        <v>188</v>
      </c>
      <c r="G23" s="3">
        <v>46069.615995370368</v>
      </c>
    </row>
    <row r="24" spans="1:7" x14ac:dyDescent="0.25">
      <c r="A24">
        <v>32</v>
      </c>
      <c r="B24">
        <v>63</v>
      </c>
      <c r="C24">
        <v>4</v>
      </c>
      <c r="D24" s="2" t="s">
        <v>184</v>
      </c>
      <c r="E24" s="2" t="s">
        <v>205</v>
      </c>
      <c r="F24" s="2" t="s">
        <v>186</v>
      </c>
      <c r="G24" s="3">
        <v>46069.615995370368</v>
      </c>
    </row>
    <row r="25" spans="1:7" x14ac:dyDescent="0.25">
      <c r="A25">
        <v>33</v>
      </c>
      <c r="B25">
        <v>63</v>
      </c>
      <c r="C25">
        <v>4</v>
      </c>
      <c r="D25" s="2" t="s">
        <v>178</v>
      </c>
      <c r="E25" s="2" t="s">
        <v>206</v>
      </c>
      <c r="F25" s="2" t="s">
        <v>180</v>
      </c>
      <c r="G25" s="3">
        <v>46069.615995370368</v>
      </c>
    </row>
    <row r="26" spans="1:7" x14ac:dyDescent="0.25">
      <c r="A26">
        <v>34</v>
      </c>
      <c r="B26">
        <v>28</v>
      </c>
      <c r="C26">
        <v>1</v>
      </c>
      <c r="D26" s="2" t="s">
        <v>181</v>
      </c>
      <c r="E26" s="2" t="s">
        <v>207</v>
      </c>
      <c r="F26" s="2" t="s">
        <v>208</v>
      </c>
      <c r="G26" s="3">
        <v>46069.684884259259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7C8A-E2A3-47F7-846E-50B7BBF0BFE3}">
  <dimension ref="A3:B6"/>
  <sheetViews>
    <sheetView workbookViewId="0">
      <selection activeCell="A3" sqref="A3"/>
    </sheetView>
  </sheetViews>
  <sheetFormatPr defaultRowHeight="15" x14ac:dyDescent="0.25"/>
  <cols>
    <col min="1" max="1" width="13.140625" bestFit="1" customWidth="1"/>
    <col min="2" max="2" width="16.28515625" bestFit="1" customWidth="1"/>
    <col min="3" max="4" width="11.28515625" bestFit="1" customWidth="1"/>
  </cols>
  <sheetData>
    <row r="3" spans="1:2" x14ac:dyDescent="0.25">
      <c r="A3" s="16" t="s">
        <v>618</v>
      </c>
      <c r="B3" t="s">
        <v>631</v>
      </c>
    </row>
    <row r="4" spans="1:2" x14ac:dyDescent="0.25">
      <c r="A4" s="17" t="s">
        <v>173</v>
      </c>
      <c r="B4" s="2">
        <v>1</v>
      </c>
    </row>
    <row r="5" spans="1:2" x14ac:dyDescent="0.25">
      <c r="A5" s="17" t="s">
        <v>172</v>
      </c>
      <c r="B5" s="2">
        <v>1</v>
      </c>
    </row>
    <row r="6" spans="1:2" x14ac:dyDescent="0.25">
      <c r="A6" s="17" t="s">
        <v>619</v>
      </c>
      <c r="B6" s="2">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54DA-BA6F-4694-AE73-910F4576655F}">
  <dimension ref="A1:J3"/>
  <sheetViews>
    <sheetView workbookViewId="0">
      <selection activeCell="E1" sqref="E1"/>
    </sheetView>
  </sheetViews>
  <sheetFormatPr defaultRowHeight="15" x14ac:dyDescent="0.25"/>
  <cols>
    <col min="1" max="1" width="5" bestFit="1" customWidth="1"/>
    <col min="2" max="2" width="12.85546875" bestFit="1" customWidth="1"/>
    <col min="3" max="6" width="11.42578125" bestFit="1" customWidth="1"/>
    <col min="7" max="7" width="17.7109375" bestFit="1" customWidth="1"/>
    <col min="8" max="8" width="22.140625" bestFit="1" customWidth="1"/>
    <col min="9" max="9" width="10.42578125" bestFit="1" customWidth="1"/>
    <col min="10" max="10" width="14.85546875" bestFit="1" customWidth="1"/>
  </cols>
  <sheetData>
    <row r="1" spans="1:10" x14ac:dyDescent="0.25">
      <c r="A1" t="s">
        <v>0</v>
      </c>
      <c r="B1" t="s">
        <v>1</v>
      </c>
      <c r="C1" t="s">
        <v>165</v>
      </c>
      <c r="D1" t="s">
        <v>166</v>
      </c>
      <c r="E1" t="s">
        <v>167</v>
      </c>
      <c r="F1" t="s">
        <v>168</v>
      </c>
      <c r="G1" t="s">
        <v>169</v>
      </c>
      <c r="H1" t="s">
        <v>170</v>
      </c>
      <c r="I1" t="s">
        <v>4</v>
      </c>
      <c r="J1" t="s">
        <v>171</v>
      </c>
    </row>
    <row r="2" spans="1:10" x14ac:dyDescent="0.25">
      <c r="A2">
        <v>1</v>
      </c>
      <c r="B2">
        <v>53</v>
      </c>
      <c r="C2">
        <v>84.37</v>
      </c>
      <c r="D2">
        <v>92</v>
      </c>
      <c r="E2">
        <v>95.4</v>
      </c>
      <c r="F2">
        <v>97.7</v>
      </c>
      <c r="G2">
        <v>92.37</v>
      </c>
      <c r="H2">
        <v>92</v>
      </c>
      <c r="I2" s="2" t="s">
        <v>172</v>
      </c>
      <c r="J2" s="3">
        <v>46069.604930555557</v>
      </c>
    </row>
    <row r="3" spans="1:10" x14ac:dyDescent="0.25">
      <c r="A3">
        <v>2</v>
      </c>
      <c r="B3">
        <v>63</v>
      </c>
      <c r="C3">
        <v>49.56</v>
      </c>
      <c r="D3">
        <v>59</v>
      </c>
      <c r="E3">
        <v>55.5</v>
      </c>
      <c r="F3">
        <v>67.5</v>
      </c>
      <c r="G3">
        <v>57.89</v>
      </c>
      <c r="H3">
        <v>58</v>
      </c>
      <c r="I3" s="2" t="s">
        <v>173</v>
      </c>
      <c r="J3" s="3">
        <v>46069.616574074076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FC33-3DF2-409D-9AE4-5AB793B3419C}">
  <dimension ref="A3:F9"/>
  <sheetViews>
    <sheetView workbookViewId="0">
      <selection activeCell="A3" sqref="A3"/>
    </sheetView>
  </sheetViews>
  <sheetFormatPr defaultRowHeight="15" x14ac:dyDescent="0.25"/>
  <cols>
    <col min="1" max="1" width="19.7109375" bestFit="1" customWidth="1"/>
    <col min="2" max="2" width="16.28515625" bestFit="1" customWidth="1"/>
    <col min="3" max="3" width="8.5703125" bestFit="1" customWidth="1"/>
    <col min="4" max="4" width="14.42578125" bestFit="1" customWidth="1"/>
    <col min="5" max="5" width="8.28515625" bestFit="1" customWidth="1"/>
    <col min="6" max="6" width="11.28515625" bestFit="1" customWidth="1"/>
  </cols>
  <sheetData>
    <row r="3" spans="1:6" x14ac:dyDescent="0.25">
      <c r="A3" s="16" t="s">
        <v>630</v>
      </c>
      <c r="B3" s="16" t="s">
        <v>627</v>
      </c>
    </row>
    <row r="4" spans="1:6" x14ac:dyDescent="0.25">
      <c r="A4" s="16" t="s">
        <v>618</v>
      </c>
      <c r="B4" t="s">
        <v>163</v>
      </c>
      <c r="C4" t="s">
        <v>150</v>
      </c>
      <c r="D4" t="s">
        <v>158</v>
      </c>
      <c r="E4" t="s">
        <v>154</v>
      </c>
      <c r="F4" t="s">
        <v>619</v>
      </c>
    </row>
    <row r="5" spans="1:6" x14ac:dyDescent="0.25">
      <c r="A5" s="17" t="s">
        <v>148</v>
      </c>
      <c r="B5" s="2"/>
      <c r="C5" s="2">
        <v>1</v>
      </c>
      <c r="D5" s="2"/>
      <c r="E5" s="2"/>
      <c r="F5" s="2">
        <v>1</v>
      </c>
    </row>
    <row r="6" spans="1:6" x14ac:dyDescent="0.25">
      <c r="A6" s="17" t="s">
        <v>161</v>
      </c>
      <c r="B6" s="2">
        <v>1</v>
      </c>
      <c r="C6" s="2"/>
      <c r="D6" s="2"/>
      <c r="E6" s="2"/>
      <c r="F6" s="2">
        <v>1</v>
      </c>
    </row>
    <row r="7" spans="1:6" x14ac:dyDescent="0.25">
      <c r="A7" s="17" t="s">
        <v>156</v>
      </c>
      <c r="B7" s="2"/>
      <c r="C7" s="2"/>
      <c r="D7" s="2">
        <v>2</v>
      </c>
      <c r="E7" s="2"/>
      <c r="F7" s="2">
        <v>2</v>
      </c>
    </row>
    <row r="8" spans="1:6" x14ac:dyDescent="0.25">
      <c r="A8" s="17" t="s">
        <v>152</v>
      </c>
      <c r="B8" s="2"/>
      <c r="C8" s="2"/>
      <c r="D8" s="2"/>
      <c r="E8" s="2">
        <v>1</v>
      </c>
      <c r="F8" s="2">
        <v>1</v>
      </c>
    </row>
    <row r="9" spans="1:6" x14ac:dyDescent="0.25">
      <c r="A9" s="17" t="s">
        <v>619</v>
      </c>
      <c r="B9" s="2">
        <v>1</v>
      </c>
      <c r="C9" s="2">
        <v>1</v>
      </c>
      <c r="D9" s="2">
        <v>2</v>
      </c>
      <c r="E9" s="2">
        <v>1</v>
      </c>
      <c r="F9" s="2">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B129-FEBB-47C3-AF7B-7D3C825FBE84}">
  <dimension ref="A1:F6"/>
  <sheetViews>
    <sheetView workbookViewId="0">
      <selection activeCell="K9" sqref="K9"/>
    </sheetView>
  </sheetViews>
  <sheetFormatPr defaultRowHeight="15" x14ac:dyDescent="0.25"/>
  <cols>
    <col min="1" max="1" width="5" bestFit="1" customWidth="1"/>
    <col min="2" max="2" width="13.7109375" bestFit="1" customWidth="1"/>
    <col min="3" max="3" width="9.7109375" bestFit="1" customWidth="1"/>
    <col min="4" max="4" width="14.140625" bestFit="1" customWidth="1"/>
    <col min="5" max="5" width="15" bestFit="1" customWidth="1"/>
    <col min="6" max="6" width="14.85546875" bestFit="1" customWidth="1"/>
  </cols>
  <sheetData>
    <row r="1" spans="1:6" x14ac:dyDescent="0.25">
      <c r="A1" t="s">
        <v>0</v>
      </c>
      <c r="B1" t="s">
        <v>144</v>
      </c>
      <c r="C1" t="s">
        <v>145</v>
      </c>
      <c r="D1" t="s">
        <v>146</v>
      </c>
      <c r="E1" t="s">
        <v>147</v>
      </c>
      <c r="F1" t="s">
        <v>5</v>
      </c>
    </row>
    <row r="2" spans="1:6" x14ac:dyDescent="0.25">
      <c r="A2">
        <v>1</v>
      </c>
      <c r="B2" s="2" t="s">
        <v>148</v>
      </c>
      <c r="C2" s="2" t="s">
        <v>149</v>
      </c>
      <c r="D2" s="2" t="s">
        <v>150</v>
      </c>
      <c r="E2" s="2" t="s">
        <v>151</v>
      </c>
      <c r="F2" s="3">
        <v>46068.471863425926</v>
      </c>
    </row>
    <row r="3" spans="1:6" x14ac:dyDescent="0.25">
      <c r="A3">
        <v>2</v>
      </c>
      <c r="B3" s="2" t="s">
        <v>152</v>
      </c>
      <c r="C3" s="2" t="s">
        <v>153</v>
      </c>
      <c r="D3" s="2" t="s">
        <v>154</v>
      </c>
      <c r="E3" s="2" t="s">
        <v>155</v>
      </c>
      <c r="F3" s="3">
        <v>46068.488078703704</v>
      </c>
    </row>
    <row r="4" spans="1:6" x14ac:dyDescent="0.25">
      <c r="A4">
        <v>3</v>
      </c>
      <c r="B4" s="2" t="s">
        <v>156</v>
      </c>
      <c r="C4" s="2" t="s">
        <v>157</v>
      </c>
      <c r="D4" s="2" t="s">
        <v>158</v>
      </c>
      <c r="E4" s="2" t="s">
        <v>159</v>
      </c>
      <c r="F4" s="3">
        <v>46068.488900462966</v>
      </c>
    </row>
    <row r="5" spans="1:6" x14ac:dyDescent="0.25">
      <c r="A5">
        <v>4</v>
      </c>
      <c r="B5" s="2" t="s">
        <v>156</v>
      </c>
      <c r="C5" s="2" t="s">
        <v>160</v>
      </c>
      <c r="D5" s="2" t="s">
        <v>158</v>
      </c>
      <c r="E5" s="2" t="s">
        <v>159</v>
      </c>
      <c r="F5" s="3">
        <v>46068.489328703705</v>
      </c>
    </row>
    <row r="6" spans="1:6" x14ac:dyDescent="0.25">
      <c r="A6">
        <v>5</v>
      </c>
      <c r="B6" s="2" t="s">
        <v>161</v>
      </c>
      <c r="C6" s="2" t="s">
        <v>162</v>
      </c>
      <c r="D6" s="2" t="s">
        <v>163</v>
      </c>
      <c r="E6" s="2" t="s">
        <v>164</v>
      </c>
      <c r="F6" s="3">
        <v>46068.489768518521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9707-4BB7-4A36-8C5F-0F91D54D30B7}">
  <dimension ref="A3:C20"/>
  <sheetViews>
    <sheetView workbookViewId="0">
      <selection activeCell="A4" sqref="A4"/>
    </sheetView>
  </sheetViews>
  <sheetFormatPr defaultRowHeight="15" x14ac:dyDescent="0.25"/>
  <cols>
    <col min="1" max="1" width="18.85546875" bestFit="1" customWidth="1"/>
    <col min="2" max="2" width="14.5703125" bestFit="1" customWidth="1"/>
    <col min="3" max="3" width="9.28515625" bestFit="1" customWidth="1"/>
  </cols>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A15C-62AC-4FDD-B058-885347BE9D3A}">
  <dimension ref="A3:B6"/>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16" t="s">
        <v>618</v>
      </c>
      <c r="B3" t="s">
        <v>620</v>
      </c>
    </row>
    <row r="4" spans="1:2" x14ac:dyDescent="0.25">
      <c r="A4" s="17" t="s">
        <v>42</v>
      </c>
      <c r="B4" s="2">
        <v>35</v>
      </c>
    </row>
    <row r="5" spans="1:2" x14ac:dyDescent="0.25">
      <c r="A5" s="17" t="s">
        <v>20</v>
      </c>
      <c r="B5" s="2">
        <v>43</v>
      </c>
    </row>
    <row r="6" spans="1:2" x14ac:dyDescent="0.25">
      <c r="A6" s="17" t="s">
        <v>619</v>
      </c>
      <c r="B6" s="2">
        <v>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990BC-EE0F-45D4-987D-5D9D5FC6AA01}">
  <dimension ref="A3:A4"/>
  <sheetViews>
    <sheetView workbookViewId="0">
      <selection activeCell="A4" sqref="A4"/>
    </sheetView>
  </sheetViews>
  <sheetFormatPr defaultRowHeight="15" x14ac:dyDescent="0.25"/>
  <cols>
    <col min="1" max="1" width="18.85546875" bestFit="1" customWidth="1"/>
  </cols>
  <sheetData>
    <row r="3" spans="1:1" x14ac:dyDescent="0.25">
      <c r="A3" t="s">
        <v>621</v>
      </c>
    </row>
    <row r="4" spans="1:1" x14ac:dyDescent="0.25">
      <c r="A4" s="2">
        <v>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129D-942C-43DA-9338-20BBFF83D16E}">
  <dimension ref="A1:H79"/>
  <sheetViews>
    <sheetView topLeftCell="A2" workbookViewId="0">
      <selection activeCell="D30" sqref="D30"/>
    </sheetView>
  </sheetViews>
  <sheetFormatPr defaultRowHeight="15" x14ac:dyDescent="0.25"/>
  <cols>
    <col min="1" max="1" width="5" bestFit="1" customWidth="1"/>
    <col min="2" max="2" width="10.140625" bestFit="1" customWidth="1"/>
    <col min="3" max="3" width="12.85546875" bestFit="1" customWidth="1"/>
    <col min="4" max="4" width="12.42578125" bestFit="1" customWidth="1"/>
    <col min="5" max="5" width="15.7109375" bestFit="1" customWidth="1"/>
    <col min="6" max="6" width="9.5703125" bestFit="1" customWidth="1"/>
    <col min="7" max="7" width="15.5703125" bestFit="1" customWidth="1"/>
    <col min="8" max="8" width="14.85546875" bestFit="1" customWidth="1"/>
  </cols>
  <sheetData>
    <row r="1" spans="1:8" x14ac:dyDescent="0.25">
      <c r="A1" t="s">
        <v>0</v>
      </c>
      <c r="B1" t="s">
        <v>9</v>
      </c>
      <c r="C1" t="s">
        <v>13</v>
      </c>
      <c r="D1" t="s">
        <v>14</v>
      </c>
      <c r="E1" t="s">
        <v>15</v>
      </c>
      <c r="F1" t="s">
        <v>16</v>
      </c>
      <c r="G1" t="s">
        <v>1</v>
      </c>
      <c r="H1" t="s">
        <v>5</v>
      </c>
    </row>
    <row r="2" spans="1:8" x14ac:dyDescent="0.25">
      <c r="A2">
        <v>1</v>
      </c>
      <c r="B2">
        <v>1</v>
      </c>
      <c r="C2" s="2" t="s">
        <v>17</v>
      </c>
      <c r="D2" s="2" t="s">
        <v>18</v>
      </c>
      <c r="E2" s="2" t="s">
        <v>19</v>
      </c>
      <c r="F2" s="2" t="s">
        <v>20</v>
      </c>
      <c r="G2" s="2" t="s">
        <v>21</v>
      </c>
      <c r="H2" s="3">
        <v>46068.47320601852</v>
      </c>
    </row>
    <row r="3" spans="1:8" x14ac:dyDescent="0.25">
      <c r="A3">
        <v>2</v>
      </c>
      <c r="B3">
        <v>1</v>
      </c>
      <c r="C3" s="2" t="s">
        <v>22</v>
      </c>
      <c r="D3" s="2" t="s">
        <v>23</v>
      </c>
      <c r="E3" s="2" t="s">
        <v>24</v>
      </c>
      <c r="F3" s="2" t="s">
        <v>20</v>
      </c>
      <c r="G3" s="2" t="s">
        <v>25</v>
      </c>
      <c r="H3" s="3">
        <v>46068.479710648149</v>
      </c>
    </row>
    <row r="4" spans="1:8" x14ac:dyDescent="0.25">
      <c r="A4">
        <v>3</v>
      </c>
      <c r="B4">
        <v>1</v>
      </c>
      <c r="C4" s="2" t="s">
        <v>26</v>
      </c>
      <c r="D4" s="2" t="s">
        <v>27</v>
      </c>
      <c r="E4" s="2"/>
      <c r="F4" s="2" t="s">
        <v>20</v>
      </c>
      <c r="G4" s="2" t="s">
        <v>28</v>
      </c>
      <c r="H4" s="3">
        <v>46068.497175925928</v>
      </c>
    </row>
    <row r="5" spans="1:8" x14ac:dyDescent="0.25">
      <c r="A5">
        <v>4</v>
      </c>
      <c r="B5">
        <v>2</v>
      </c>
      <c r="C5" s="2" t="s">
        <v>29</v>
      </c>
      <c r="D5" s="2" t="s">
        <v>30</v>
      </c>
      <c r="E5" s="2"/>
      <c r="F5" s="2" t="s">
        <v>20</v>
      </c>
      <c r="G5" s="2" t="s">
        <v>31</v>
      </c>
      <c r="H5" s="3">
        <v>46068.497175925928</v>
      </c>
    </row>
    <row r="6" spans="1:8" x14ac:dyDescent="0.25">
      <c r="A6">
        <v>5</v>
      </c>
      <c r="B6">
        <v>3</v>
      </c>
      <c r="C6" s="2" t="s">
        <v>32</v>
      </c>
      <c r="D6" s="2" t="s">
        <v>33</v>
      </c>
      <c r="E6" s="2"/>
      <c r="F6" s="2" t="s">
        <v>20</v>
      </c>
      <c r="G6" s="2" t="s">
        <v>34</v>
      </c>
      <c r="H6" s="3">
        <v>46068.497175925928</v>
      </c>
    </row>
    <row r="7" spans="1:8" x14ac:dyDescent="0.25">
      <c r="A7">
        <v>6</v>
      </c>
      <c r="B7">
        <v>4</v>
      </c>
      <c r="C7" s="2" t="s">
        <v>35</v>
      </c>
      <c r="D7" s="2" t="s">
        <v>36</v>
      </c>
      <c r="E7" s="2"/>
      <c r="F7" s="2" t="s">
        <v>20</v>
      </c>
      <c r="G7" s="2" t="s">
        <v>37</v>
      </c>
      <c r="H7" s="3">
        <v>46068.497175925928</v>
      </c>
    </row>
    <row r="8" spans="1:8" x14ac:dyDescent="0.25">
      <c r="A8">
        <v>7</v>
      </c>
      <c r="B8">
        <v>5</v>
      </c>
      <c r="C8" s="2" t="s">
        <v>38</v>
      </c>
      <c r="D8" s="2" t="s">
        <v>39</v>
      </c>
      <c r="E8" s="2"/>
      <c r="F8" s="2" t="s">
        <v>20</v>
      </c>
      <c r="G8" s="2" t="s">
        <v>40</v>
      </c>
      <c r="H8" s="3">
        <v>46068.497175925928</v>
      </c>
    </row>
    <row r="9" spans="1:8" x14ac:dyDescent="0.25">
      <c r="A9">
        <v>8</v>
      </c>
      <c r="B9">
        <v>1</v>
      </c>
      <c r="C9" s="2" t="s">
        <v>41</v>
      </c>
      <c r="D9" s="2" t="s">
        <v>39</v>
      </c>
      <c r="E9" s="2"/>
      <c r="F9" s="2" t="s">
        <v>42</v>
      </c>
      <c r="G9" s="2" t="s">
        <v>43</v>
      </c>
      <c r="H9" s="3">
        <v>46068.497175925928</v>
      </c>
    </row>
    <row r="10" spans="1:8" x14ac:dyDescent="0.25">
      <c r="A10">
        <v>9</v>
      </c>
      <c r="B10">
        <v>2</v>
      </c>
      <c r="C10" s="2" t="s">
        <v>44</v>
      </c>
      <c r="D10" s="2" t="s">
        <v>45</v>
      </c>
      <c r="E10" s="2"/>
      <c r="F10" s="2" t="s">
        <v>42</v>
      </c>
      <c r="G10" s="2" t="s">
        <v>46</v>
      </c>
      <c r="H10" s="3">
        <v>46068.497175925928</v>
      </c>
    </row>
    <row r="11" spans="1:8" x14ac:dyDescent="0.25">
      <c r="A11">
        <v>10</v>
      </c>
      <c r="B11">
        <v>3</v>
      </c>
      <c r="C11" s="2" t="s">
        <v>47</v>
      </c>
      <c r="D11" s="2" t="s">
        <v>48</v>
      </c>
      <c r="E11" s="2"/>
      <c r="F11" s="2" t="s">
        <v>42</v>
      </c>
      <c r="G11" s="2" t="s">
        <v>49</v>
      </c>
      <c r="H11" s="3">
        <v>46068.497175925928</v>
      </c>
    </row>
    <row r="12" spans="1:8" x14ac:dyDescent="0.25">
      <c r="A12">
        <v>11</v>
      </c>
      <c r="B12">
        <v>4</v>
      </c>
      <c r="C12" s="2" t="s">
        <v>50</v>
      </c>
      <c r="D12" s="2" t="s">
        <v>51</v>
      </c>
      <c r="E12" s="2"/>
      <c r="F12" s="2" t="s">
        <v>42</v>
      </c>
      <c r="G12" s="2" t="s">
        <v>52</v>
      </c>
      <c r="H12" s="3">
        <v>46068.497175925928</v>
      </c>
    </row>
    <row r="13" spans="1:8" x14ac:dyDescent="0.25">
      <c r="A13">
        <v>12</v>
      </c>
      <c r="B13">
        <v>5</v>
      </c>
      <c r="C13" s="2" t="s">
        <v>47</v>
      </c>
      <c r="D13" s="2" t="s">
        <v>53</v>
      </c>
      <c r="E13" s="2"/>
      <c r="F13" s="2" t="s">
        <v>42</v>
      </c>
      <c r="G13" s="2" t="s">
        <v>54</v>
      </c>
      <c r="H13" s="3">
        <v>46068.497175925928</v>
      </c>
    </row>
    <row r="14" spans="1:8" x14ac:dyDescent="0.25">
      <c r="A14">
        <v>13</v>
      </c>
      <c r="B14">
        <v>1</v>
      </c>
      <c r="C14" s="2" t="s">
        <v>55</v>
      </c>
      <c r="D14" s="2" t="s">
        <v>56</v>
      </c>
      <c r="E14" s="2"/>
      <c r="F14" s="2" t="s">
        <v>20</v>
      </c>
      <c r="G14" s="2" t="s">
        <v>57</v>
      </c>
      <c r="H14" s="3">
        <v>46068.497175925928</v>
      </c>
    </row>
    <row r="15" spans="1:8" x14ac:dyDescent="0.25">
      <c r="A15">
        <v>14</v>
      </c>
      <c r="B15">
        <v>2</v>
      </c>
      <c r="C15" s="2" t="s">
        <v>41</v>
      </c>
      <c r="D15" s="2" t="s">
        <v>58</v>
      </c>
      <c r="E15" s="2"/>
      <c r="F15" s="2" t="s">
        <v>20</v>
      </c>
      <c r="G15" s="2" t="s">
        <v>59</v>
      </c>
      <c r="H15" s="3">
        <v>46068.497175925928</v>
      </c>
    </row>
    <row r="16" spans="1:8" x14ac:dyDescent="0.25">
      <c r="A16">
        <v>15</v>
      </c>
      <c r="B16">
        <v>3</v>
      </c>
      <c r="C16" s="2" t="s">
        <v>38</v>
      </c>
      <c r="D16" s="2" t="s">
        <v>60</v>
      </c>
      <c r="E16" s="2"/>
      <c r="F16" s="2" t="s">
        <v>20</v>
      </c>
      <c r="G16" s="2" t="s">
        <v>61</v>
      </c>
      <c r="H16" s="3">
        <v>46068.497175925928</v>
      </c>
    </row>
    <row r="17" spans="1:8" x14ac:dyDescent="0.25">
      <c r="A17">
        <v>16</v>
      </c>
      <c r="B17">
        <v>4</v>
      </c>
      <c r="C17" s="2" t="s">
        <v>55</v>
      </c>
      <c r="D17" s="2" t="s">
        <v>62</v>
      </c>
      <c r="E17" s="2"/>
      <c r="F17" s="2" t="s">
        <v>20</v>
      </c>
      <c r="G17" s="2" t="s">
        <v>63</v>
      </c>
      <c r="H17" s="3">
        <v>46068.497175925928</v>
      </c>
    </row>
    <row r="18" spans="1:8" x14ac:dyDescent="0.25">
      <c r="A18">
        <v>17</v>
      </c>
      <c r="B18">
        <v>5</v>
      </c>
      <c r="C18" s="2" t="s">
        <v>64</v>
      </c>
      <c r="D18" s="2" t="s">
        <v>36</v>
      </c>
      <c r="E18" s="2"/>
      <c r="F18" s="2" t="s">
        <v>20</v>
      </c>
      <c r="G18" s="2" t="s">
        <v>65</v>
      </c>
      <c r="H18" s="3">
        <v>46068.497175925928</v>
      </c>
    </row>
    <row r="19" spans="1:8" x14ac:dyDescent="0.25">
      <c r="A19">
        <v>18</v>
      </c>
      <c r="B19">
        <v>1</v>
      </c>
      <c r="C19" s="2" t="s">
        <v>66</v>
      </c>
      <c r="D19" s="2" t="s">
        <v>67</v>
      </c>
      <c r="E19" s="2"/>
      <c r="F19" s="2" t="s">
        <v>42</v>
      </c>
      <c r="G19" s="2" t="s">
        <v>68</v>
      </c>
      <c r="H19" s="3">
        <v>46068.497175925928</v>
      </c>
    </row>
    <row r="20" spans="1:8" x14ac:dyDescent="0.25">
      <c r="A20">
        <v>19</v>
      </c>
      <c r="B20">
        <v>2</v>
      </c>
      <c r="C20" s="2" t="s">
        <v>69</v>
      </c>
      <c r="D20" s="2" t="s">
        <v>56</v>
      </c>
      <c r="E20" s="2"/>
      <c r="F20" s="2" t="s">
        <v>42</v>
      </c>
      <c r="G20" s="2" t="s">
        <v>70</v>
      </c>
      <c r="H20" s="3">
        <v>46068.497175925928</v>
      </c>
    </row>
    <row r="21" spans="1:8" x14ac:dyDescent="0.25">
      <c r="A21">
        <v>20</v>
      </c>
      <c r="B21">
        <v>3</v>
      </c>
      <c r="C21" s="2" t="s">
        <v>71</v>
      </c>
      <c r="D21" s="2" t="s">
        <v>45</v>
      </c>
      <c r="E21" s="2"/>
      <c r="F21" s="2" t="s">
        <v>42</v>
      </c>
      <c r="G21" s="2" t="s">
        <v>72</v>
      </c>
      <c r="H21" s="3">
        <v>46068.497175925928</v>
      </c>
    </row>
    <row r="22" spans="1:8" x14ac:dyDescent="0.25">
      <c r="A22">
        <v>21</v>
      </c>
      <c r="B22">
        <v>4</v>
      </c>
      <c r="C22" s="2" t="s">
        <v>73</v>
      </c>
      <c r="D22" s="2" t="s">
        <v>58</v>
      </c>
      <c r="E22" s="2"/>
      <c r="F22" s="2" t="s">
        <v>42</v>
      </c>
      <c r="G22" s="2" t="s">
        <v>74</v>
      </c>
      <c r="H22" s="3">
        <v>46068.497175925928</v>
      </c>
    </row>
    <row r="23" spans="1:8" x14ac:dyDescent="0.25">
      <c r="A23">
        <v>22</v>
      </c>
      <c r="B23">
        <v>5</v>
      </c>
      <c r="C23" s="2" t="s">
        <v>55</v>
      </c>
      <c r="D23" s="2" t="s">
        <v>33</v>
      </c>
      <c r="E23" s="2"/>
      <c r="F23" s="2" t="s">
        <v>42</v>
      </c>
      <c r="G23" s="2" t="s">
        <v>75</v>
      </c>
      <c r="H23" s="3">
        <v>46068.497175925928</v>
      </c>
    </row>
    <row r="24" spans="1:8" x14ac:dyDescent="0.25">
      <c r="A24">
        <v>23</v>
      </c>
      <c r="B24">
        <v>1</v>
      </c>
      <c r="C24" s="2" t="s">
        <v>73</v>
      </c>
      <c r="D24" s="2" t="s">
        <v>67</v>
      </c>
      <c r="E24" s="2"/>
      <c r="F24" s="2" t="s">
        <v>20</v>
      </c>
      <c r="G24" s="2" t="s">
        <v>76</v>
      </c>
      <c r="H24" s="3">
        <v>46068.497175925928</v>
      </c>
    </row>
    <row r="25" spans="1:8" x14ac:dyDescent="0.25">
      <c r="A25">
        <v>24</v>
      </c>
      <c r="B25">
        <v>2</v>
      </c>
      <c r="C25" s="2" t="s">
        <v>35</v>
      </c>
      <c r="D25" s="2" t="s">
        <v>77</v>
      </c>
      <c r="E25" s="2"/>
      <c r="F25" s="2" t="s">
        <v>20</v>
      </c>
      <c r="G25" s="2" t="s">
        <v>78</v>
      </c>
      <c r="H25" s="3">
        <v>46068.497175925928</v>
      </c>
    </row>
    <row r="26" spans="1:8" x14ac:dyDescent="0.25">
      <c r="A26">
        <v>25</v>
      </c>
      <c r="B26">
        <v>3</v>
      </c>
      <c r="C26" s="2" t="s">
        <v>73</v>
      </c>
      <c r="D26" s="2" t="s">
        <v>79</v>
      </c>
      <c r="E26" s="2"/>
      <c r="F26" s="2" t="s">
        <v>20</v>
      </c>
      <c r="G26" s="2" t="s">
        <v>80</v>
      </c>
      <c r="H26" s="3">
        <v>46068.497175925928</v>
      </c>
    </row>
    <row r="27" spans="1:8" x14ac:dyDescent="0.25">
      <c r="A27">
        <v>26</v>
      </c>
      <c r="B27">
        <v>4</v>
      </c>
      <c r="C27" s="2" t="s">
        <v>44</v>
      </c>
      <c r="D27" s="2" t="s">
        <v>53</v>
      </c>
      <c r="E27" s="2"/>
      <c r="F27" s="2" t="s">
        <v>20</v>
      </c>
      <c r="G27" s="2" t="s">
        <v>81</v>
      </c>
      <c r="H27" s="3">
        <v>46068.497175925928</v>
      </c>
    </row>
    <row r="28" spans="1:8" x14ac:dyDescent="0.25">
      <c r="A28">
        <v>27</v>
      </c>
      <c r="B28">
        <v>5</v>
      </c>
      <c r="C28" s="2" t="s">
        <v>41</v>
      </c>
      <c r="D28" s="2" t="s">
        <v>82</v>
      </c>
      <c r="E28" s="2"/>
      <c r="F28" s="2" t="s">
        <v>20</v>
      </c>
      <c r="G28" s="2" t="s">
        <v>83</v>
      </c>
      <c r="H28" s="3">
        <v>46068.497175925928</v>
      </c>
    </row>
    <row r="29" spans="1:8" x14ac:dyDescent="0.25">
      <c r="A29">
        <v>28</v>
      </c>
      <c r="B29">
        <v>1</v>
      </c>
      <c r="C29" s="2" t="s">
        <v>73</v>
      </c>
      <c r="D29" s="2" t="s">
        <v>77</v>
      </c>
      <c r="E29" s="2"/>
      <c r="F29" s="2" t="s">
        <v>42</v>
      </c>
      <c r="G29" s="2" t="s">
        <v>84</v>
      </c>
      <c r="H29" s="3">
        <v>46068.497175925928</v>
      </c>
    </row>
    <row r="30" spans="1:8" x14ac:dyDescent="0.25">
      <c r="A30">
        <v>29</v>
      </c>
      <c r="B30">
        <v>2</v>
      </c>
      <c r="C30" s="2" t="s">
        <v>85</v>
      </c>
      <c r="D30" s="2" t="s">
        <v>82</v>
      </c>
      <c r="E30" s="2"/>
      <c r="F30" s="2" t="s">
        <v>42</v>
      </c>
      <c r="G30" s="2" t="s">
        <v>86</v>
      </c>
      <c r="H30" s="3">
        <v>46068.497175925928</v>
      </c>
    </row>
    <row r="31" spans="1:8" x14ac:dyDescent="0.25">
      <c r="A31">
        <v>30</v>
      </c>
      <c r="B31">
        <v>3</v>
      </c>
      <c r="C31" s="2" t="s">
        <v>26</v>
      </c>
      <c r="D31" s="2" t="s">
        <v>87</v>
      </c>
      <c r="E31" s="2"/>
      <c r="F31" s="2" t="s">
        <v>42</v>
      </c>
      <c r="G31" s="2" t="s">
        <v>88</v>
      </c>
      <c r="H31" s="3">
        <v>46068.497175925928</v>
      </c>
    </row>
    <row r="32" spans="1:8" x14ac:dyDescent="0.25">
      <c r="A32">
        <v>31</v>
      </c>
      <c r="B32">
        <v>4</v>
      </c>
      <c r="C32" s="2" t="s">
        <v>66</v>
      </c>
      <c r="D32" s="2" t="s">
        <v>89</v>
      </c>
      <c r="E32" s="2"/>
      <c r="F32" s="2" t="s">
        <v>42</v>
      </c>
      <c r="G32" s="2" t="s">
        <v>90</v>
      </c>
      <c r="H32" s="3">
        <v>46068.497175925928</v>
      </c>
    </row>
    <row r="33" spans="1:8" x14ac:dyDescent="0.25">
      <c r="A33">
        <v>32</v>
      </c>
      <c r="B33">
        <v>5</v>
      </c>
      <c r="C33" s="2" t="s">
        <v>91</v>
      </c>
      <c r="D33" s="2" t="s">
        <v>82</v>
      </c>
      <c r="E33" s="2"/>
      <c r="F33" s="2" t="s">
        <v>42</v>
      </c>
      <c r="G33" s="2" t="s">
        <v>92</v>
      </c>
      <c r="H33" s="3">
        <v>46068.497175925928</v>
      </c>
    </row>
    <row r="34" spans="1:8" x14ac:dyDescent="0.25">
      <c r="A34">
        <v>33</v>
      </c>
      <c r="B34">
        <v>1</v>
      </c>
      <c r="C34" s="2" t="s">
        <v>41</v>
      </c>
      <c r="D34" s="2" t="s">
        <v>39</v>
      </c>
      <c r="E34" s="2"/>
      <c r="F34" s="2" t="s">
        <v>20</v>
      </c>
      <c r="G34" s="2" t="s">
        <v>93</v>
      </c>
      <c r="H34" s="3">
        <v>46068.497175925928</v>
      </c>
    </row>
    <row r="35" spans="1:8" x14ac:dyDescent="0.25">
      <c r="A35">
        <v>34</v>
      </c>
      <c r="B35">
        <v>2</v>
      </c>
      <c r="C35" s="2" t="s">
        <v>38</v>
      </c>
      <c r="D35" s="2" t="s">
        <v>36</v>
      </c>
      <c r="E35" s="2"/>
      <c r="F35" s="2" t="s">
        <v>20</v>
      </c>
      <c r="G35" s="2" t="s">
        <v>94</v>
      </c>
      <c r="H35" s="3">
        <v>46068.497175925928</v>
      </c>
    </row>
    <row r="36" spans="1:8" x14ac:dyDescent="0.25">
      <c r="A36">
        <v>35</v>
      </c>
      <c r="B36">
        <v>3</v>
      </c>
      <c r="C36" s="2" t="s">
        <v>91</v>
      </c>
      <c r="D36" s="2" t="s">
        <v>79</v>
      </c>
      <c r="E36" s="2"/>
      <c r="F36" s="2" t="s">
        <v>20</v>
      </c>
      <c r="G36" s="2" t="s">
        <v>95</v>
      </c>
      <c r="H36" s="3">
        <v>46068.497175925928</v>
      </c>
    </row>
    <row r="37" spans="1:8" x14ac:dyDescent="0.25">
      <c r="A37">
        <v>36</v>
      </c>
      <c r="B37">
        <v>4</v>
      </c>
      <c r="C37" s="2" t="s">
        <v>38</v>
      </c>
      <c r="D37" s="2" t="s">
        <v>30</v>
      </c>
      <c r="E37" s="2"/>
      <c r="F37" s="2" t="s">
        <v>20</v>
      </c>
      <c r="G37" s="2" t="s">
        <v>96</v>
      </c>
      <c r="H37" s="3">
        <v>46068.497175925928</v>
      </c>
    </row>
    <row r="38" spans="1:8" x14ac:dyDescent="0.25">
      <c r="A38">
        <v>37</v>
      </c>
      <c r="B38">
        <v>5</v>
      </c>
      <c r="C38" s="2" t="s">
        <v>29</v>
      </c>
      <c r="D38" s="2" t="s">
        <v>97</v>
      </c>
      <c r="E38" s="2"/>
      <c r="F38" s="2" t="s">
        <v>20</v>
      </c>
      <c r="G38" s="2" t="s">
        <v>98</v>
      </c>
      <c r="H38" s="3">
        <v>46068.497175925928</v>
      </c>
    </row>
    <row r="39" spans="1:8" x14ac:dyDescent="0.25">
      <c r="A39">
        <v>38</v>
      </c>
      <c r="B39">
        <v>1</v>
      </c>
      <c r="C39" s="2" t="s">
        <v>50</v>
      </c>
      <c r="D39" s="2" t="s">
        <v>48</v>
      </c>
      <c r="E39" s="2"/>
      <c r="F39" s="2" t="s">
        <v>42</v>
      </c>
      <c r="G39" s="2" t="s">
        <v>99</v>
      </c>
      <c r="H39" s="3">
        <v>46068.497175925928</v>
      </c>
    </row>
    <row r="40" spans="1:8" x14ac:dyDescent="0.25">
      <c r="A40">
        <v>39</v>
      </c>
      <c r="B40">
        <v>2</v>
      </c>
      <c r="C40" s="2" t="s">
        <v>71</v>
      </c>
      <c r="D40" s="2" t="s">
        <v>48</v>
      </c>
      <c r="E40" s="2"/>
      <c r="F40" s="2" t="s">
        <v>42</v>
      </c>
      <c r="G40" s="2" t="s">
        <v>100</v>
      </c>
      <c r="H40" s="3">
        <v>46068.497175925928</v>
      </c>
    </row>
    <row r="41" spans="1:8" x14ac:dyDescent="0.25">
      <c r="A41">
        <v>40</v>
      </c>
      <c r="B41">
        <v>3</v>
      </c>
      <c r="C41" s="2" t="s">
        <v>35</v>
      </c>
      <c r="D41" s="2" t="s">
        <v>36</v>
      </c>
      <c r="E41" s="2"/>
      <c r="F41" s="2" t="s">
        <v>42</v>
      </c>
      <c r="G41" s="2" t="s">
        <v>101</v>
      </c>
      <c r="H41" s="3">
        <v>46068.497175925928</v>
      </c>
    </row>
    <row r="42" spans="1:8" x14ac:dyDescent="0.25">
      <c r="A42">
        <v>41</v>
      </c>
      <c r="B42">
        <v>4</v>
      </c>
      <c r="C42" s="2" t="s">
        <v>91</v>
      </c>
      <c r="D42" s="2" t="s">
        <v>87</v>
      </c>
      <c r="E42" s="2"/>
      <c r="F42" s="2" t="s">
        <v>42</v>
      </c>
      <c r="G42" s="2" t="s">
        <v>102</v>
      </c>
      <c r="H42" s="3">
        <v>46068.497175925928</v>
      </c>
    </row>
    <row r="43" spans="1:8" x14ac:dyDescent="0.25">
      <c r="A43">
        <v>42</v>
      </c>
      <c r="B43">
        <v>5</v>
      </c>
      <c r="C43" s="2" t="s">
        <v>35</v>
      </c>
      <c r="D43" s="2" t="s">
        <v>79</v>
      </c>
      <c r="E43" s="2"/>
      <c r="F43" s="2" t="s">
        <v>42</v>
      </c>
      <c r="G43" s="2" t="s">
        <v>103</v>
      </c>
      <c r="H43" s="3">
        <v>46068.497175925928</v>
      </c>
    </row>
    <row r="44" spans="1:8" x14ac:dyDescent="0.25">
      <c r="A44">
        <v>43</v>
      </c>
      <c r="B44">
        <v>1</v>
      </c>
      <c r="C44" s="2" t="s">
        <v>66</v>
      </c>
      <c r="D44" s="2" t="s">
        <v>36</v>
      </c>
      <c r="E44" s="2"/>
      <c r="F44" s="2" t="s">
        <v>20</v>
      </c>
      <c r="G44" s="2" t="s">
        <v>104</v>
      </c>
      <c r="H44" s="3">
        <v>46068.497175925928</v>
      </c>
    </row>
    <row r="45" spans="1:8" x14ac:dyDescent="0.25">
      <c r="A45">
        <v>44</v>
      </c>
      <c r="B45">
        <v>2</v>
      </c>
      <c r="C45" s="2" t="s">
        <v>66</v>
      </c>
      <c r="D45" s="2" t="s">
        <v>36</v>
      </c>
      <c r="E45" s="2"/>
      <c r="F45" s="2" t="s">
        <v>20</v>
      </c>
      <c r="G45" s="2" t="s">
        <v>105</v>
      </c>
      <c r="H45" s="3">
        <v>46068.497175925928</v>
      </c>
    </row>
    <row r="46" spans="1:8" x14ac:dyDescent="0.25">
      <c r="A46">
        <v>45</v>
      </c>
      <c r="B46">
        <v>3</v>
      </c>
      <c r="C46" s="2" t="s">
        <v>35</v>
      </c>
      <c r="D46" s="2" t="s">
        <v>60</v>
      </c>
      <c r="E46" s="2"/>
      <c r="F46" s="2" t="s">
        <v>20</v>
      </c>
      <c r="G46" s="2" t="s">
        <v>106</v>
      </c>
      <c r="H46" s="3">
        <v>46068.497175925928</v>
      </c>
    </row>
    <row r="47" spans="1:8" x14ac:dyDescent="0.25">
      <c r="A47">
        <v>46</v>
      </c>
      <c r="B47">
        <v>4</v>
      </c>
      <c r="C47" s="2" t="s">
        <v>85</v>
      </c>
      <c r="D47" s="2" t="s">
        <v>77</v>
      </c>
      <c r="E47" s="2"/>
      <c r="F47" s="2" t="s">
        <v>20</v>
      </c>
      <c r="G47" s="2" t="s">
        <v>107</v>
      </c>
      <c r="H47" s="3">
        <v>46068.497175925928</v>
      </c>
    </row>
    <row r="48" spans="1:8" x14ac:dyDescent="0.25">
      <c r="A48">
        <v>47</v>
      </c>
      <c r="B48">
        <v>5</v>
      </c>
      <c r="C48" s="2" t="s">
        <v>64</v>
      </c>
      <c r="D48" s="2" t="s">
        <v>30</v>
      </c>
      <c r="E48" s="2"/>
      <c r="F48" s="2" t="s">
        <v>20</v>
      </c>
      <c r="G48" s="2" t="s">
        <v>108</v>
      </c>
      <c r="H48" s="3">
        <v>46068.497175925928</v>
      </c>
    </row>
    <row r="49" spans="1:8" x14ac:dyDescent="0.25">
      <c r="A49">
        <v>48</v>
      </c>
      <c r="B49">
        <v>1</v>
      </c>
      <c r="C49" s="2" t="s">
        <v>71</v>
      </c>
      <c r="D49" s="2" t="s">
        <v>87</v>
      </c>
      <c r="E49" s="2"/>
      <c r="F49" s="2" t="s">
        <v>42</v>
      </c>
      <c r="G49" s="2" t="s">
        <v>109</v>
      </c>
      <c r="H49" s="3">
        <v>46068.497175925928</v>
      </c>
    </row>
    <row r="50" spans="1:8" x14ac:dyDescent="0.25">
      <c r="A50">
        <v>49</v>
      </c>
      <c r="B50">
        <v>2</v>
      </c>
      <c r="C50" s="2" t="s">
        <v>71</v>
      </c>
      <c r="D50" s="2" t="s">
        <v>48</v>
      </c>
      <c r="E50" s="2"/>
      <c r="F50" s="2" t="s">
        <v>42</v>
      </c>
      <c r="G50" s="2" t="s">
        <v>110</v>
      </c>
      <c r="H50" s="3">
        <v>46068.497175925928</v>
      </c>
    </row>
    <row r="51" spans="1:8" x14ac:dyDescent="0.25">
      <c r="A51">
        <v>50</v>
      </c>
      <c r="B51">
        <v>3</v>
      </c>
      <c r="C51" s="2" t="s">
        <v>47</v>
      </c>
      <c r="D51" s="2" t="s">
        <v>89</v>
      </c>
      <c r="E51" s="2"/>
      <c r="F51" s="2" t="s">
        <v>42</v>
      </c>
      <c r="G51" s="2" t="s">
        <v>111</v>
      </c>
      <c r="H51" s="3">
        <v>46068.497175925928</v>
      </c>
    </row>
    <row r="52" spans="1:8" x14ac:dyDescent="0.25">
      <c r="A52">
        <v>51</v>
      </c>
      <c r="B52">
        <v>4</v>
      </c>
      <c r="C52" s="2" t="s">
        <v>71</v>
      </c>
      <c r="D52" s="2" t="s">
        <v>48</v>
      </c>
      <c r="E52" s="2"/>
      <c r="F52" s="2" t="s">
        <v>42</v>
      </c>
      <c r="G52" s="2" t="s">
        <v>112</v>
      </c>
      <c r="H52" s="3">
        <v>46068.497175925928</v>
      </c>
    </row>
    <row r="53" spans="1:8" x14ac:dyDescent="0.25">
      <c r="A53">
        <v>52</v>
      </c>
      <c r="B53">
        <v>5</v>
      </c>
      <c r="C53" s="2" t="s">
        <v>55</v>
      </c>
      <c r="D53" s="2" t="s">
        <v>53</v>
      </c>
      <c r="E53" s="2"/>
      <c r="F53" s="2" t="s">
        <v>42</v>
      </c>
      <c r="G53" s="2" t="s">
        <v>113</v>
      </c>
      <c r="H53" s="3">
        <v>46068.497175925928</v>
      </c>
    </row>
    <row r="54" spans="1:8" x14ac:dyDescent="0.25">
      <c r="A54">
        <v>53</v>
      </c>
      <c r="B54">
        <v>1</v>
      </c>
      <c r="C54" s="2" t="s">
        <v>91</v>
      </c>
      <c r="D54" s="2" t="s">
        <v>79</v>
      </c>
      <c r="E54" s="2"/>
      <c r="F54" s="2" t="s">
        <v>20</v>
      </c>
      <c r="G54" s="2" t="s">
        <v>114</v>
      </c>
      <c r="H54" s="3">
        <v>46068.497175925928</v>
      </c>
    </row>
    <row r="55" spans="1:8" x14ac:dyDescent="0.25">
      <c r="A55">
        <v>54</v>
      </c>
      <c r="B55">
        <v>2</v>
      </c>
      <c r="C55" s="2" t="s">
        <v>66</v>
      </c>
      <c r="D55" s="2" t="s">
        <v>39</v>
      </c>
      <c r="E55" s="2"/>
      <c r="F55" s="2" t="s">
        <v>20</v>
      </c>
      <c r="G55" s="2" t="s">
        <v>115</v>
      </c>
      <c r="H55" s="3">
        <v>46068.497175925928</v>
      </c>
    </row>
    <row r="56" spans="1:8" x14ac:dyDescent="0.25">
      <c r="A56">
        <v>55</v>
      </c>
      <c r="B56">
        <v>3</v>
      </c>
      <c r="C56" s="2" t="s">
        <v>50</v>
      </c>
      <c r="D56" s="2" t="s">
        <v>51</v>
      </c>
      <c r="E56" s="2"/>
      <c r="F56" s="2" t="s">
        <v>20</v>
      </c>
      <c r="G56" s="2" t="s">
        <v>116</v>
      </c>
      <c r="H56" s="3">
        <v>46068.497175925928</v>
      </c>
    </row>
    <row r="57" spans="1:8" x14ac:dyDescent="0.25">
      <c r="A57">
        <v>56</v>
      </c>
      <c r="B57">
        <v>4</v>
      </c>
      <c r="C57" s="2" t="s">
        <v>66</v>
      </c>
      <c r="D57" s="2" t="s">
        <v>82</v>
      </c>
      <c r="E57" s="2"/>
      <c r="F57" s="2" t="s">
        <v>20</v>
      </c>
      <c r="G57" s="2" t="s">
        <v>117</v>
      </c>
      <c r="H57" s="3">
        <v>46068.497175925928</v>
      </c>
    </row>
    <row r="58" spans="1:8" x14ac:dyDescent="0.25">
      <c r="A58">
        <v>57</v>
      </c>
      <c r="B58">
        <v>5</v>
      </c>
      <c r="C58" s="2" t="s">
        <v>29</v>
      </c>
      <c r="D58" s="2" t="s">
        <v>30</v>
      </c>
      <c r="E58" s="2"/>
      <c r="F58" s="2" t="s">
        <v>20</v>
      </c>
      <c r="G58" s="2" t="s">
        <v>118</v>
      </c>
      <c r="H58" s="3">
        <v>46068.497175925928</v>
      </c>
    </row>
    <row r="59" spans="1:8" x14ac:dyDescent="0.25">
      <c r="A59">
        <v>58</v>
      </c>
      <c r="B59">
        <v>1</v>
      </c>
      <c r="C59" s="2" t="s">
        <v>32</v>
      </c>
      <c r="D59" s="2" t="s">
        <v>27</v>
      </c>
      <c r="E59" s="2"/>
      <c r="F59" s="2" t="s">
        <v>42</v>
      </c>
      <c r="G59" s="2" t="s">
        <v>119</v>
      </c>
      <c r="H59" s="3">
        <v>46068.497175925928</v>
      </c>
    </row>
    <row r="60" spans="1:8" x14ac:dyDescent="0.25">
      <c r="A60">
        <v>59</v>
      </c>
      <c r="B60">
        <v>2</v>
      </c>
      <c r="C60" s="2" t="s">
        <v>120</v>
      </c>
      <c r="D60" s="2" t="s">
        <v>33</v>
      </c>
      <c r="E60" s="2"/>
      <c r="F60" s="2" t="s">
        <v>42</v>
      </c>
      <c r="G60" s="2" t="s">
        <v>121</v>
      </c>
      <c r="H60" s="3">
        <v>46068.497175925928</v>
      </c>
    </row>
    <row r="61" spans="1:8" x14ac:dyDescent="0.25">
      <c r="A61">
        <v>60</v>
      </c>
      <c r="B61">
        <v>3</v>
      </c>
      <c r="C61" s="2" t="s">
        <v>64</v>
      </c>
      <c r="D61" s="2" t="s">
        <v>97</v>
      </c>
      <c r="E61" s="2"/>
      <c r="F61" s="2" t="s">
        <v>42</v>
      </c>
      <c r="G61" s="2" t="s">
        <v>122</v>
      </c>
      <c r="H61" s="3">
        <v>46068.497175925928</v>
      </c>
    </row>
    <row r="62" spans="1:8" x14ac:dyDescent="0.25">
      <c r="A62">
        <v>61</v>
      </c>
      <c r="B62">
        <v>4</v>
      </c>
      <c r="C62" s="2" t="s">
        <v>47</v>
      </c>
      <c r="D62" s="2" t="s">
        <v>27</v>
      </c>
      <c r="E62" s="2"/>
      <c r="F62" s="2" t="s">
        <v>42</v>
      </c>
      <c r="G62" s="2" t="s">
        <v>123</v>
      </c>
      <c r="H62" s="3">
        <v>46068.497175925928</v>
      </c>
    </row>
    <row r="63" spans="1:8" x14ac:dyDescent="0.25">
      <c r="A63">
        <v>62</v>
      </c>
      <c r="B63">
        <v>5</v>
      </c>
      <c r="C63" s="2" t="s">
        <v>26</v>
      </c>
      <c r="D63" s="2" t="s">
        <v>82</v>
      </c>
      <c r="E63" s="2"/>
      <c r="F63" s="2" t="s">
        <v>42</v>
      </c>
      <c r="G63" s="2" t="s">
        <v>124</v>
      </c>
      <c r="H63" s="3">
        <v>46068.497175925928</v>
      </c>
    </row>
    <row r="64" spans="1:8" x14ac:dyDescent="0.25">
      <c r="A64">
        <v>63</v>
      </c>
      <c r="B64">
        <v>1</v>
      </c>
      <c r="C64" s="2" t="s">
        <v>66</v>
      </c>
      <c r="D64" s="2" t="s">
        <v>33</v>
      </c>
      <c r="E64" s="2"/>
      <c r="F64" s="2" t="s">
        <v>20</v>
      </c>
      <c r="G64" s="2" t="s">
        <v>125</v>
      </c>
      <c r="H64" s="3">
        <v>46068.497175925928</v>
      </c>
    </row>
    <row r="65" spans="1:8" x14ac:dyDescent="0.25">
      <c r="A65">
        <v>64</v>
      </c>
      <c r="B65">
        <v>2</v>
      </c>
      <c r="C65" s="2" t="s">
        <v>41</v>
      </c>
      <c r="D65" s="2" t="s">
        <v>39</v>
      </c>
      <c r="E65" s="2"/>
      <c r="F65" s="2" t="s">
        <v>20</v>
      </c>
      <c r="G65" s="2" t="s">
        <v>126</v>
      </c>
      <c r="H65" s="3">
        <v>46068.497175925928</v>
      </c>
    </row>
    <row r="66" spans="1:8" x14ac:dyDescent="0.25">
      <c r="A66">
        <v>65</v>
      </c>
      <c r="B66">
        <v>3</v>
      </c>
      <c r="C66" s="2" t="s">
        <v>71</v>
      </c>
      <c r="D66" s="2" t="s">
        <v>36</v>
      </c>
      <c r="E66" s="2"/>
      <c r="F66" s="2" t="s">
        <v>20</v>
      </c>
      <c r="G66" s="2" t="s">
        <v>127</v>
      </c>
      <c r="H66" s="3">
        <v>46068.497175925928</v>
      </c>
    </row>
    <row r="67" spans="1:8" x14ac:dyDescent="0.25">
      <c r="A67">
        <v>66</v>
      </c>
      <c r="B67">
        <v>4</v>
      </c>
      <c r="C67" s="2" t="s">
        <v>29</v>
      </c>
      <c r="D67" s="2" t="s">
        <v>62</v>
      </c>
      <c r="E67" s="2"/>
      <c r="F67" s="2" t="s">
        <v>20</v>
      </c>
      <c r="G67" s="2" t="s">
        <v>128</v>
      </c>
      <c r="H67" s="3">
        <v>46068.497175925928</v>
      </c>
    </row>
    <row r="68" spans="1:8" x14ac:dyDescent="0.25">
      <c r="A68">
        <v>67</v>
      </c>
      <c r="B68">
        <v>5</v>
      </c>
      <c r="C68" s="2" t="s">
        <v>29</v>
      </c>
      <c r="D68" s="2" t="s">
        <v>45</v>
      </c>
      <c r="E68" s="2"/>
      <c r="F68" s="2" t="s">
        <v>20</v>
      </c>
      <c r="G68" s="2" t="s">
        <v>129</v>
      </c>
      <c r="H68" s="3">
        <v>46068.497175925928</v>
      </c>
    </row>
    <row r="69" spans="1:8" x14ac:dyDescent="0.25">
      <c r="A69">
        <v>68</v>
      </c>
      <c r="B69">
        <v>1</v>
      </c>
      <c r="C69" s="2" t="s">
        <v>41</v>
      </c>
      <c r="D69" s="2" t="s">
        <v>51</v>
      </c>
      <c r="E69" s="2"/>
      <c r="F69" s="2" t="s">
        <v>42</v>
      </c>
      <c r="G69" s="2" t="s">
        <v>130</v>
      </c>
      <c r="H69" s="3">
        <v>46068.497175925928</v>
      </c>
    </row>
    <row r="70" spans="1:8" x14ac:dyDescent="0.25">
      <c r="A70">
        <v>69</v>
      </c>
      <c r="B70">
        <v>2</v>
      </c>
      <c r="C70" s="2" t="s">
        <v>55</v>
      </c>
      <c r="D70" s="2" t="s">
        <v>27</v>
      </c>
      <c r="E70" s="2"/>
      <c r="F70" s="2" t="s">
        <v>42</v>
      </c>
      <c r="G70" s="2" t="s">
        <v>131</v>
      </c>
      <c r="H70" s="3">
        <v>46068.497175925928</v>
      </c>
    </row>
    <row r="71" spans="1:8" x14ac:dyDescent="0.25">
      <c r="A71">
        <v>70</v>
      </c>
      <c r="B71">
        <v>3</v>
      </c>
      <c r="C71" s="2" t="s">
        <v>50</v>
      </c>
      <c r="D71" s="2" t="s">
        <v>97</v>
      </c>
      <c r="E71" s="2"/>
      <c r="F71" s="2" t="s">
        <v>42</v>
      </c>
      <c r="G71" s="2" t="s">
        <v>132</v>
      </c>
      <c r="H71" s="3">
        <v>46068.497175925928</v>
      </c>
    </row>
    <row r="72" spans="1:8" x14ac:dyDescent="0.25">
      <c r="A72">
        <v>71</v>
      </c>
      <c r="B72">
        <v>4</v>
      </c>
      <c r="C72" s="2" t="s">
        <v>91</v>
      </c>
      <c r="D72" s="2" t="s">
        <v>87</v>
      </c>
      <c r="E72" s="2"/>
      <c r="F72" s="2" t="s">
        <v>42</v>
      </c>
      <c r="G72" s="2" t="s">
        <v>133</v>
      </c>
      <c r="H72" s="3">
        <v>46068.497175925928</v>
      </c>
    </row>
    <row r="73" spans="1:8" x14ac:dyDescent="0.25">
      <c r="A73">
        <v>72</v>
      </c>
      <c r="B73">
        <v>5</v>
      </c>
      <c r="C73" s="2" t="s">
        <v>38</v>
      </c>
      <c r="D73" s="2" t="s">
        <v>48</v>
      </c>
      <c r="E73" s="2"/>
      <c r="F73" s="2" t="s">
        <v>42</v>
      </c>
      <c r="G73" s="2" t="s">
        <v>134</v>
      </c>
      <c r="H73" s="3">
        <v>46068.497175925928</v>
      </c>
    </row>
    <row r="74" spans="1:8" x14ac:dyDescent="0.25">
      <c r="A74">
        <v>73</v>
      </c>
      <c r="B74">
        <v>1</v>
      </c>
      <c r="C74" s="2" t="s">
        <v>32</v>
      </c>
      <c r="D74" s="2" t="s">
        <v>36</v>
      </c>
      <c r="E74" s="2"/>
      <c r="F74" s="2" t="s">
        <v>20</v>
      </c>
      <c r="G74" s="2" t="s">
        <v>135</v>
      </c>
      <c r="H74" s="3">
        <v>46068.497175925928</v>
      </c>
    </row>
    <row r="75" spans="1:8" x14ac:dyDescent="0.25">
      <c r="A75">
        <v>74</v>
      </c>
      <c r="B75">
        <v>2</v>
      </c>
      <c r="C75" s="2" t="s">
        <v>55</v>
      </c>
      <c r="D75" s="2" t="s">
        <v>39</v>
      </c>
      <c r="E75" s="2"/>
      <c r="F75" s="2" t="s">
        <v>20</v>
      </c>
      <c r="G75" s="2" t="s">
        <v>136</v>
      </c>
      <c r="H75" s="3">
        <v>46068.497175925928</v>
      </c>
    </row>
    <row r="76" spans="1:8" x14ac:dyDescent="0.25">
      <c r="A76">
        <v>75</v>
      </c>
      <c r="B76">
        <v>3</v>
      </c>
      <c r="C76" s="2" t="s">
        <v>32</v>
      </c>
      <c r="D76" s="2" t="s">
        <v>97</v>
      </c>
      <c r="E76" s="2"/>
      <c r="F76" s="2" t="s">
        <v>20</v>
      </c>
      <c r="G76" s="2" t="s">
        <v>137</v>
      </c>
      <c r="H76" s="3">
        <v>46068.497175925928</v>
      </c>
    </row>
    <row r="77" spans="1:8" x14ac:dyDescent="0.25">
      <c r="A77">
        <v>76</v>
      </c>
      <c r="B77">
        <v>4</v>
      </c>
      <c r="C77" s="2" t="s">
        <v>91</v>
      </c>
      <c r="D77" s="2" t="s">
        <v>39</v>
      </c>
      <c r="E77" s="2"/>
      <c r="F77" s="2" t="s">
        <v>20</v>
      </c>
      <c r="G77" s="2" t="s">
        <v>138</v>
      </c>
      <c r="H77" s="3">
        <v>46068.497175925928</v>
      </c>
    </row>
    <row r="78" spans="1:8" x14ac:dyDescent="0.25">
      <c r="A78">
        <v>77</v>
      </c>
      <c r="B78">
        <v>5</v>
      </c>
      <c r="C78" s="2" t="s">
        <v>32</v>
      </c>
      <c r="D78" s="2" t="s">
        <v>45</v>
      </c>
      <c r="E78" s="2"/>
      <c r="F78" s="2" t="s">
        <v>20</v>
      </c>
      <c r="G78" s="2" t="s">
        <v>139</v>
      </c>
      <c r="H78" s="3">
        <v>46068.497175925928</v>
      </c>
    </row>
    <row r="79" spans="1:8" x14ac:dyDescent="0.25">
      <c r="A79">
        <v>78</v>
      </c>
      <c r="B79">
        <v>1</v>
      </c>
      <c r="C79" s="2" t="s">
        <v>140</v>
      </c>
      <c r="D79" s="2" t="s">
        <v>141</v>
      </c>
      <c r="E79" s="2" t="s">
        <v>142</v>
      </c>
      <c r="F79" s="2" t="s">
        <v>20</v>
      </c>
      <c r="G79" s="2" t="s">
        <v>143</v>
      </c>
      <c r="H79" s="3">
        <v>46069.759560185186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709D-909B-4607-92CB-F5C6632F5981}">
  <dimension ref="A3:C5"/>
  <sheetViews>
    <sheetView workbookViewId="0">
      <selection activeCell="A3" sqref="A3"/>
    </sheetView>
  </sheetViews>
  <sheetFormatPr defaultRowHeight="15" x14ac:dyDescent="0.25"/>
  <cols>
    <col min="1" max="1" width="16.28515625" bestFit="1" customWidth="1"/>
    <col min="2" max="2" width="13.85546875" bestFit="1" customWidth="1"/>
    <col min="3" max="4" width="11.28515625" bestFit="1" customWidth="1"/>
  </cols>
  <sheetData>
    <row r="3" spans="1:3" x14ac:dyDescent="0.25">
      <c r="A3" s="16" t="s">
        <v>627</v>
      </c>
    </row>
    <row r="4" spans="1:3" x14ac:dyDescent="0.25">
      <c r="A4" t="s">
        <v>12</v>
      </c>
      <c r="B4" t="s">
        <v>632</v>
      </c>
      <c r="C4" t="s">
        <v>619</v>
      </c>
    </row>
    <row r="5" spans="1:3" x14ac:dyDescent="0.25">
      <c r="A5" s="1">
        <v>46069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A694-687C-47F1-8272-CF0C3E2F4416}">
  <dimension ref="A1:E2"/>
  <sheetViews>
    <sheetView workbookViewId="0">
      <selection activeCell="D1" sqref="D1"/>
    </sheetView>
  </sheetViews>
  <sheetFormatPr defaultRowHeight="15" x14ac:dyDescent="0.25"/>
  <cols>
    <col min="1" max="1" width="5" bestFit="1" customWidth="1"/>
    <col min="2" max="2" width="10.140625" bestFit="1" customWidth="1"/>
    <col min="3" max="3" width="14.7109375" bestFit="1" customWidth="1"/>
    <col min="4" max="4" width="14.28515625" bestFit="1" customWidth="1"/>
    <col min="5" max="5" width="14.85546875" bestFit="1" customWidth="1"/>
  </cols>
  <sheetData>
    <row r="1" spans="1:5" x14ac:dyDescent="0.25">
      <c r="A1" t="s">
        <v>0</v>
      </c>
      <c r="B1" t="s">
        <v>9</v>
      </c>
      <c r="C1" t="s">
        <v>10</v>
      </c>
      <c r="D1" t="s">
        <v>11</v>
      </c>
      <c r="E1" t="s">
        <v>5</v>
      </c>
    </row>
    <row r="2" spans="1:5" x14ac:dyDescent="0.25">
      <c r="A2">
        <v>1</v>
      </c>
      <c r="B2">
        <v>1</v>
      </c>
      <c r="C2" s="1">
        <v>46069</v>
      </c>
      <c r="D2" s="2" t="s">
        <v>12</v>
      </c>
      <c r="E2" s="3">
        <v>46068.475243055553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6803-91CB-4403-AC5C-682D493FE9F2}">
  <dimension ref="A1:F21"/>
  <sheetViews>
    <sheetView workbookViewId="0">
      <selection activeCell="E11" sqref="E11"/>
    </sheetView>
  </sheetViews>
  <sheetFormatPr defaultRowHeight="15" x14ac:dyDescent="0.25"/>
  <cols>
    <col min="1" max="1" width="5" bestFit="1" customWidth="1"/>
    <col min="2" max="2" width="12.85546875" bestFit="1" customWidth="1"/>
    <col min="3" max="3" width="9.7109375" bestFit="1" customWidth="1"/>
    <col min="4" max="4" width="8.5703125" bestFit="1" customWidth="1"/>
    <col min="5" max="5" width="10.42578125" bestFit="1" customWidth="1"/>
    <col min="6" max="6" width="14.85546875" bestFit="1" customWidth="1"/>
  </cols>
  <sheetData>
    <row r="1" spans="1:6" x14ac:dyDescent="0.25">
      <c r="A1" t="s">
        <v>0</v>
      </c>
      <c r="B1" t="s">
        <v>1</v>
      </c>
      <c r="C1" t="s">
        <v>2</v>
      </c>
      <c r="D1" t="s">
        <v>3</v>
      </c>
      <c r="E1" t="s">
        <v>4</v>
      </c>
      <c r="F1" t="s">
        <v>5</v>
      </c>
    </row>
    <row r="2" spans="1:6" x14ac:dyDescent="0.25">
      <c r="A2">
        <v>1</v>
      </c>
      <c r="B2">
        <v>1</v>
      </c>
      <c r="C2" s="1">
        <v>46068</v>
      </c>
      <c r="D2" s="2" t="s">
        <v>6</v>
      </c>
      <c r="E2" s="2" t="s">
        <v>7</v>
      </c>
      <c r="F2" s="3">
        <v>46068.475787037038</v>
      </c>
    </row>
    <row r="3" spans="1:6" x14ac:dyDescent="0.25">
      <c r="A3">
        <v>4</v>
      </c>
      <c r="B3">
        <v>2</v>
      </c>
      <c r="C3" s="1">
        <v>46068</v>
      </c>
      <c r="D3" s="2" t="s">
        <v>8</v>
      </c>
      <c r="E3" s="2" t="s">
        <v>7</v>
      </c>
      <c r="F3" s="3">
        <v>46068.479826388888</v>
      </c>
    </row>
    <row r="4" spans="1:6" x14ac:dyDescent="0.25">
      <c r="A4">
        <v>6</v>
      </c>
      <c r="B4">
        <v>53</v>
      </c>
      <c r="C4" s="1">
        <v>46069</v>
      </c>
      <c r="D4" s="2" t="s">
        <v>8</v>
      </c>
      <c r="E4" s="2" t="s">
        <v>7</v>
      </c>
      <c r="F4" s="3">
        <v>46069.598391203705</v>
      </c>
    </row>
    <row r="5" spans="1:6" x14ac:dyDescent="0.25">
      <c r="A5">
        <v>7</v>
      </c>
      <c r="B5">
        <v>63</v>
      </c>
      <c r="C5" s="1">
        <v>46069</v>
      </c>
      <c r="D5" s="2" t="s">
        <v>8</v>
      </c>
      <c r="E5" s="2" t="s">
        <v>7</v>
      </c>
      <c r="F5" s="3">
        <v>46069.598391203705</v>
      </c>
    </row>
    <row r="6" spans="1:6" x14ac:dyDescent="0.25">
      <c r="A6">
        <v>8</v>
      </c>
      <c r="B6">
        <v>28</v>
      </c>
      <c r="C6" s="1">
        <v>46069</v>
      </c>
      <c r="D6" s="2" t="s">
        <v>8</v>
      </c>
      <c r="E6" s="2" t="s">
        <v>7</v>
      </c>
      <c r="F6" s="3">
        <v>46069.598391203705</v>
      </c>
    </row>
    <row r="7" spans="1:6" x14ac:dyDescent="0.25">
      <c r="A7">
        <v>9</v>
      </c>
      <c r="B7">
        <v>48</v>
      </c>
      <c r="C7" s="1">
        <v>46069</v>
      </c>
      <c r="D7" s="2" t="s">
        <v>6</v>
      </c>
      <c r="E7" s="2" t="s">
        <v>7</v>
      </c>
      <c r="F7" s="3">
        <v>46069.598391203705</v>
      </c>
    </row>
    <row r="8" spans="1:6" x14ac:dyDescent="0.25">
      <c r="A8">
        <v>10</v>
      </c>
      <c r="B8">
        <v>2</v>
      </c>
      <c r="C8" s="1">
        <v>46069</v>
      </c>
      <c r="D8" s="2" t="s">
        <v>6</v>
      </c>
      <c r="E8" s="2" t="s">
        <v>7</v>
      </c>
      <c r="F8" s="3">
        <v>46069.598391203705</v>
      </c>
    </row>
    <row r="9" spans="1:6" x14ac:dyDescent="0.25">
      <c r="A9">
        <v>11</v>
      </c>
      <c r="B9">
        <v>73</v>
      </c>
      <c r="C9" s="1">
        <v>46069</v>
      </c>
      <c r="D9" s="2" t="s">
        <v>6</v>
      </c>
      <c r="E9" s="2" t="s">
        <v>7</v>
      </c>
      <c r="F9" s="3">
        <v>46069.598391203705</v>
      </c>
    </row>
    <row r="10" spans="1:6" x14ac:dyDescent="0.25">
      <c r="A10">
        <v>12</v>
      </c>
      <c r="B10">
        <v>43</v>
      </c>
      <c r="C10" s="1">
        <v>46069</v>
      </c>
      <c r="D10" s="2" t="s">
        <v>6</v>
      </c>
      <c r="E10" s="2" t="s">
        <v>7</v>
      </c>
      <c r="F10" s="3">
        <v>46069.598391203705</v>
      </c>
    </row>
    <row r="11" spans="1:6" x14ac:dyDescent="0.25">
      <c r="A11">
        <v>13</v>
      </c>
      <c r="B11">
        <v>58</v>
      </c>
      <c r="C11" s="1">
        <v>46069</v>
      </c>
      <c r="D11" s="2" t="s">
        <v>6</v>
      </c>
      <c r="E11" s="2" t="s">
        <v>7</v>
      </c>
      <c r="F11" s="3">
        <v>46069.598391203705</v>
      </c>
    </row>
    <row r="12" spans="1:6" x14ac:dyDescent="0.25">
      <c r="A12">
        <v>14</v>
      </c>
      <c r="B12">
        <v>3</v>
      </c>
      <c r="C12" s="1">
        <v>46069</v>
      </c>
      <c r="D12" s="2" t="s">
        <v>6</v>
      </c>
      <c r="E12" s="2" t="s">
        <v>7</v>
      </c>
      <c r="F12" s="3">
        <v>46069.598391203705</v>
      </c>
    </row>
    <row r="13" spans="1:6" x14ac:dyDescent="0.25">
      <c r="A13">
        <v>15</v>
      </c>
      <c r="B13">
        <v>23</v>
      </c>
      <c r="C13" s="1">
        <v>46069</v>
      </c>
      <c r="D13" s="2" t="s">
        <v>6</v>
      </c>
      <c r="E13" s="2" t="s">
        <v>7</v>
      </c>
      <c r="F13" s="3">
        <v>46069.598391203705</v>
      </c>
    </row>
    <row r="14" spans="1:6" x14ac:dyDescent="0.25">
      <c r="A14">
        <v>16</v>
      </c>
      <c r="B14">
        <v>18</v>
      </c>
      <c r="C14" s="1">
        <v>46069</v>
      </c>
      <c r="D14" s="2" t="s">
        <v>6</v>
      </c>
      <c r="E14" s="2" t="s">
        <v>7</v>
      </c>
      <c r="F14" s="3">
        <v>46069.598391203705</v>
      </c>
    </row>
    <row r="15" spans="1:6" x14ac:dyDescent="0.25">
      <c r="A15">
        <v>17</v>
      </c>
      <c r="B15">
        <v>1</v>
      </c>
      <c r="C15" s="1">
        <v>46069</v>
      </c>
      <c r="D15" s="2" t="s">
        <v>6</v>
      </c>
      <c r="E15" s="2" t="s">
        <v>7</v>
      </c>
      <c r="F15" s="3">
        <v>46069.598391203705</v>
      </c>
    </row>
    <row r="16" spans="1:6" x14ac:dyDescent="0.25">
      <c r="A16">
        <v>18</v>
      </c>
      <c r="B16">
        <v>33</v>
      </c>
      <c r="C16" s="1">
        <v>46069</v>
      </c>
      <c r="D16" s="2" t="s">
        <v>6</v>
      </c>
      <c r="E16" s="2" t="s">
        <v>7</v>
      </c>
      <c r="F16" s="3">
        <v>46069.598391203705</v>
      </c>
    </row>
    <row r="17" spans="1:6" x14ac:dyDescent="0.25">
      <c r="A17">
        <v>19</v>
      </c>
      <c r="B17">
        <v>8</v>
      </c>
      <c r="C17" s="1">
        <v>46069</v>
      </c>
      <c r="D17" s="2" t="s">
        <v>6</v>
      </c>
      <c r="E17" s="2" t="s">
        <v>7</v>
      </c>
      <c r="F17" s="3">
        <v>46069.598391203705</v>
      </c>
    </row>
    <row r="18" spans="1:6" x14ac:dyDescent="0.25">
      <c r="A18">
        <v>20</v>
      </c>
      <c r="B18">
        <v>38</v>
      </c>
      <c r="C18" s="1">
        <v>46069</v>
      </c>
      <c r="D18" s="2" t="s">
        <v>6</v>
      </c>
      <c r="E18" s="2" t="s">
        <v>7</v>
      </c>
      <c r="F18" s="3">
        <v>46069.598391203705</v>
      </c>
    </row>
    <row r="19" spans="1:6" x14ac:dyDescent="0.25">
      <c r="A19">
        <v>21</v>
      </c>
      <c r="B19">
        <v>68</v>
      </c>
      <c r="C19" s="1">
        <v>46069</v>
      </c>
      <c r="D19" s="2" t="s">
        <v>6</v>
      </c>
      <c r="E19" s="2" t="s">
        <v>7</v>
      </c>
      <c r="F19" s="3">
        <v>46069.598391203705</v>
      </c>
    </row>
    <row r="20" spans="1:6" x14ac:dyDescent="0.25">
      <c r="A20">
        <v>22</v>
      </c>
      <c r="B20">
        <v>13</v>
      </c>
      <c r="C20" s="1">
        <v>46069</v>
      </c>
      <c r="D20" s="2" t="s">
        <v>6</v>
      </c>
      <c r="E20" s="2" t="s">
        <v>7</v>
      </c>
      <c r="F20" s="3">
        <v>46069.598391203705</v>
      </c>
    </row>
    <row r="21" spans="1:6" x14ac:dyDescent="0.25">
      <c r="A21">
        <v>26</v>
      </c>
      <c r="B21">
        <v>78</v>
      </c>
      <c r="C21" s="1">
        <v>46069</v>
      </c>
      <c r="D21" s="2" t="s">
        <v>6</v>
      </c>
      <c r="E21" s="2" t="s">
        <v>7</v>
      </c>
      <c r="F21" s="3">
        <v>46069.893009259256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F5337-712C-4193-81B4-A6474053B900}">
  <dimension ref="A1:F17"/>
  <sheetViews>
    <sheetView workbookViewId="0">
      <selection activeCell="A3" sqref="A3:F17"/>
    </sheetView>
  </sheetViews>
  <sheetFormatPr defaultRowHeight="15" x14ac:dyDescent="0.25"/>
  <cols>
    <col min="1" max="1" width="9.28515625" bestFit="1" customWidth="1"/>
    <col min="2" max="2" width="12.85546875" bestFit="1" customWidth="1"/>
    <col min="3" max="3" width="9.7109375" bestFit="1" customWidth="1"/>
    <col min="4" max="4" width="9.28515625" bestFit="1" customWidth="1"/>
    <col min="5" max="5" width="10.42578125" bestFit="1" customWidth="1"/>
    <col min="6" max="6" width="14.85546875" bestFit="1" customWidth="1"/>
  </cols>
  <sheetData>
    <row r="1" spans="1:6" x14ac:dyDescent="0.25">
      <c r="A1" s="28" t="s">
        <v>629</v>
      </c>
    </row>
    <row r="3" spans="1:6" x14ac:dyDescent="0.25">
      <c r="A3" t="s">
        <v>0</v>
      </c>
      <c r="B3" t="s">
        <v>1</v>
      </c>
      <c r="C3" t="s">
        <v>2</v>
      </c>
      <c r="D3" t="s">
        <v>3</v>
      </c>
      <c r="E3" t="s">
        <v>4</v>
      </c>
      <c r="F3" t="s">
        <v>5</v>
      </c>
    </row>
    <row r="4" spans="1:6" x14ac:dyDescent="0.25">
      <c r="A4">
        <v>1</v>
      </c>
      <c r="B4">
        <v>1</v>
      </c>
      <c r="C4" s="1">
        <v>46068</v>
      </c>
      <c r="D4" t="s">
        <v>6</v>
      </c>
      <c r="E4" t="s">
        <v>7</v>
      </c>
      <c r="F4" s="3">
        <v>46068.475787037038</v>
      </c>
    </row>
    <row r="5" spans="1:6" x14ac:dyDescent="0.25">
      <c r="A5">
        <v>22</v>
      </c>
      <c r="B5">
        <v>13</v>
      </c>
      <c r="C5" s="1">
        <v>46069</v>
      </c>
      <c r="D5" t="s">
        <v>6</v>
      </c>
      <c r="E5" t="s">
        <v>7</v>
      </c>
      <c r="F5" s="3">
        <v>46069.598391203705</v>
      </c>
    </row>
    <row r="6" spans="1:6" x14ac:dyDescent="0.25">
      <c r="A6">
        <v>6</v>
      </c>
      <c r="B6">
        <v>53</v>
      </c>
      <c r="C6" s="1">
        <v>46069</v>
      </c>
      <c r="D6" t="s">
        <v>6</v>
      </c>
      <c r="E6" t="s">
        <v>7</v>
      </c>
      <c r="F6" s="3">
        <v>46069.598391203705</v>
      </c>
    </row>
    <row r="7" spans="1:6" x14ac:dyDescent="0.25">
      <c r="A7">
        <v>20</v>
      </c>
      <c r="B7">
        <v>38</v>
      </c>
      <c r="C7" s="1">
        <v>46069</v>
      </c>
      <c r="D7" t="s">
        <v>6</v>
      </c>
      <c r="E7" t="s">
        <v>7</v>
      </c>
      <c r="F7" s="3">
        <v>46069.598391203705</v>
      </c>
    </row>
    <row r="8" spans="1:6" x14ac:dyDescent="0.25">
      <c r="A8">
        <v>19</v>
      </c>
      <c r="B8">
        <v>8</v>
      </c>
      <c r="C8" s="1">
        <v>46069</v>
      </c>
      <c r="D8" t="s">
        <v>6</v>
      </c>
      <c r="E8" t="s">
        <v>7</v>
      </c>
      <c r="F8" s="3">
        <v>46069.598391203705</v>
      </c>
    </row>
    <row r="9" spans="1:6" x14ac:dyDescent="0.25">
      <c r="A9">
        <v>9</v>
      </c>
      <c r="B9">
        <v>48</v>
      </c>
      <c r="C9" s="1">
        <v>46069</v>
      </c>
      <c r="D9" t="s">
        <v>6</v>
      </c>
      <c r="E9" t="s">
        <v>7</v>
      </c>
      <c r="F9" s="3">
        <v>46069.598391203705</v>
      </c>
    </row>
    <row r="10" spans="1:6" x14ac:dyDescent="0.25">
      <c r="A10">
        <v>10</v>
      </c>
      <c r="B10">
        <v>2</v>
      </c>
      <c r="C10" s="1">
        <v>46069</v>
      </c>
      <c r="D10" t="s">
        <v>6</v>
      </c>
      <c r="E10" t="s">
        <v>7</v>
      </c>
      <c r="F10" s="3">
        <v>46069.598391203705</v>
      </c>
    </row>
    <row r="11" spans="1:6" x14ac:dyDescent="0.25">
      <c r="A11">
        <v>11</v>
      </c>
      <c r="B11">
        <v>73</v>
      </c>
      <c r="C11" s="1">
        <v>46069</v>
      </c>
      <c r="D11" t="s">
        <v>6</v>
      </c>
      <c r="E11" t="s">
        <v>7</v>
      </c>
      <c r="F11" s="3">
        <v>46069.598391203705</v>
      </c>
    </row>
    <row r="12" spans="1:6" x14ac:dyDescent="0.25">
      <c r="A12">
        <v>12</v>
      </c>
      <c r="B12">
        <v>43</v>
      </c>
      <c r="C12" s="1">
        <v>46069</v>
      </c>
      <c r="D12" t="s">
        <v>6</v>
      </c>
      <c r="E12" t="s">
        <v>7</v>
      </c>
      <c r="F12" s="3">
        <v>46069.598391203705</v>
      </c>
    </row>
    <row r="13" spans="1:6" x14ac:dyDescent="0.25">
      <c r="A13">
        <v>13</v>
      </c>
      <c r="B13">
        <v>58</v>
      </c>
      <c r="C13" s="1">
        <v>46069</v>
      </c>
      <c r="D13" t="s">
        <v>6</v>
      </c>
      <c r="E13" t="s">
        <v>7</v>
      </c>
      <c r="F13" s="3">
        <v>46069.598391203705</v>
      </c>
    </row>
    <row r="14" spans="1:6" x14ac:dyDescent="0.25">
      <c r="A14">
        <v>14</v>
      </c>
      <c r="B14">
        <v>3</v>
      </c>
      <c r="C14" s="1">
        <v>46069</v>
      </c>
      <c r="D14" t="s">
        <v>6</v>
      </c>
      <c r="E14" t="s">
        <v>7</v>
      </c>
      <c r="F14" s="3">
        <v>46069.598391203705</v>
      </c>
    </row>
    <row r="15" spans="1:6" x14ac:dyDescent="0.25">
      <c r="A15">
        <v>15</v>
      </c>
      <c r="B15">
        <v>23</v>
      </c>
      <c r="C15" s="1">
        <v>46069</v>
      </c>
      <c r="D15" t="s">
        <v>6</v>
      </c>
      <c r="E15" t="s">
        <v>7</v>
      </c>
      <c r="F15" s="3">
        <v>46069.598391203705</v>
      </c>
    </row>
    <row r="16" spans="1:6" x14ac:dyDescent="0.25">
      <c r="A16">
        <v>16</v>
      </c>
      <c r="B16">
        <v>18</v>
      </c>
      <c r="C16" s="1">
        <v>46069</v>
      </c>
      <c r="D16" t="s">
        <v>6</v>
      </c>
      <c r="E16" t="s">
        <v>7</v>
      </c>
      <c r="F16" s="3">
        <v>46069.598391203705</v>
      </c>
    </row>
    <row r="17" spans="1:6" x14ac:dyDescent="0.25">
      <c r="A17">
        <v>17</v>
      </c>
      <c r="B17">
        <v>1</v>
      </c>
      <c r="C17" s="1">
        <v>46069</v>
      </c>
      <c r="D17" t="s">
        <v>6</v>
      </c>
      <c r="E17" t="s">
        <v>7</v>
      </c>
      <c r="F17" s="3">
        <v>46069.598391203705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E9C0-86D3-4FD0-BFD0-E3008C57A38B}">
  <dimension ref="A1:AQ26"/>
  <sheetViews>
    <sheetView tabSelected="1" topLeftCell="A4" zoomScaleNormal="100" workbookViewId="0">
      <selection activeCell="R6" sqref="R6"/>
    </sheetView>
  </sheetViews>
  <sheetFormatPr defaultRowHeight="15" x14ac:dyDescent="0.25"/>
  <cols>
    <col min="1" max="1" width="4.140625" style="6" customWidth="1"/>
    <col min="2" max="2" width="13.5703125" style="6" customWidth="1"/>
    <col min="3" max="3" width="14.140625" style="6" customWidth="1"/>
    <col min="4" max="4" width="9.140625" style="6" customWidth="1"/>
    <col min="5" max="5" width="9.140625" style="6"/>
    <col min="6" max="6" width="18.85546875" style="6" customWidth="1"/>
    <col min="7" max="7" width="3.7109375" style="6" customWidth="1"/>
    <col min="8" max="8" width="11.85546875" style="6" bestFit="1" customWidth="1"/>
    <col min="9" max="10" width="9.140625" style="6" customWidth="1"/>
    <col min="11" max="11" width="3.28515625" style="6" customWidth="1"/>
    <col min="12" max="12" width="9.140625" style="6"/>
    <col min="13" max="13" width="9.85546875" style="6" customWidth="1"/>
    <col min="14" max="14" width="9.140625" style="6"/>
    <col min="15" max="15" width="3.42578125" style="6" customWidth="1"/>
    <col min="16" max="18" width="9.140625" style="6"/>
    <col min="19" max="19" width="3.42578125" style="6" customWidth="1"/>
    <col min="20" max="22" width="9.140625" style="6"/>
    <col min="23" max="23" width="9.140625" style="6" customWidth="1"/>
    <col min="24" max="24" width="11.140625" style="6" bestFit="1" customWidth="1"/>
    <col min="25" max="25" width="9.140625" style="6"/>
    <col min="26" max="26" width="4.85546875" style="6" customWidth="1"/>
    <col min="27" max="27" width="9.140625" style="6"/>
    <col min="28" max="28" width="11.85546875" style="6" bestFit="1" customWidth="1"/>
    <col min="29" max="16384" width="9.140625" style="6"/>
  </cols>
  <sheetData>
    <row r="1" spans="1:43" x14ac:dyDescent="0.2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row>
    <row r="2" spans="1:43"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row>
    <row r="3" spans="1:43" x14ac:dyDescent="0.2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row>
    <row r="4" spans="1:43" x14ac:dyDescent="0.2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row>
    <row r="5" spans="1:43" x14ac:dyDescent="0.2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row>
    <row r="6" spans="1:43" x14ac:dyDescent="0.2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row>
    <row r="10" spans="1:43" ht="26.25" x14ac:dyDescent="0.4">
      <c r="A10" s="30"/>
      <c r="B10" s="30"/>
      <c r="C10" s="30"/>
      <c r="D10" s="30"/>
      <c r="H10" s="25" t="s">
        <v>623</v>
      </c>
      <c r="I10" s="26"/>
      <c r="J10" s="26"/>
      <c r="K10" s="26"/>
      <c r="L10" s="25" t="s">
        <v>624</v>
      </c>
      <c r="M10" s="26"/>
      <c r="N10" s="26"/>
      <c r="O10" s="26"/>
      <c r="P10" s="25" t="s">
        <v>625</v>
      </c>
      <c r="Q10" s="27"/>
      <c r="R10" s="27"/>
      <c r="S10" s="27"/>
      <c r="T10" s="25" t="s">
        <v>626</v>
      </c>
    </row>
    <row r="11" spans="1:43" x14ac:dyDescent="0.25">
      <c r="A11" s="30"/>
      <c r="B11" s="29"/>
      <c r="C11" s="29"/>
      <c r="D11" s="30"/>
      <c r="G11" s="19"/>
      <c r="H11" s="5"/>
      <c r="I11" s="5"/>
      <c r="K11" s="24"/>
      <c r="L11" s="5"/>
      <c r="M11" s="5"/>
      <c r="O11" s="19"/>
      <c r="P11" s="5"/>
      <c r="Q11" s="5"/>
      <c r="S11" s="19"/>
      <c r="T11" s="5"/>
      <c r="U11" s="5"/>
      <c r="AA11" s="5"/>
      <c r="AB11" s="5"/>
      <c r="AC11" s="5"/>
    </row>
    <row r="12" spans="1:43" ht="61.5" x14ac:dyDescent="0.9">
      <c r="A12" s="30"/>
      <c r="B12" s="30"/>
      <c r="C12" s="30"/>
      <c r="D12" s="30"/>
      <c r="G12" s="19"/>
      <c r="H12" s="20">
        <f>GETPIVOTDATA("status",Sheet3!$A$3,"status","present")</f>
        <v>16</v>
      </c>
      <c r="I12" s="5"/>
      <c r="K12" s="24"/>
      <c r="L12" s="21">
        <f>GETPIVOTDATA("status",Sheet3!$A$3,"status","absent")</f>
        <v>4</v>
      </c>
      <c r="M12" s="5"/>
      <c r="O12" s="19"/>
      <c r="P12" s="22" t="e">
        <f>GETPIVOTDATA("status",Sheet3!$A$3,"status","late")</f>
        <v>#REF!</v>
      </c>
      <c r="Q12" s="5"/>
      <c r="S12" s="19"/>
      <c r="T12" s="23" t="e">
        <f>GETPIVOTDATA("status",Sheet3!$A$3,"status","excused")</f>
        <v>#REF!</v>
      </c>
      <c r="U12" s="5"/>
      <c r="AA12" s="5"/>
      <c r="AB12" s="33">
        <f>GETPIVOTDATA("student_id",Sheet10!$A$3)</f>
        <v>78</v>
      </c>
      <c r="AC12" s="5"/>
    </row>
    <row r="13" spans="1:43" x14ac:dyDescent="0.25">
      <c r="A13" s="30"/>
      <c r="B13" s="29"/>
      <c r="C13" s="29"/>
      <c r="D13" s="30"/>
      <c r="G13" s="19"/>
      <c r="H13" s="5"/>
      <c r="I13" s="5"/>
      <c r="K13" s="24"/>
      <c r="L13" s="5"/>
      <c r="M13" s="5"/>
      <c r="O13" s="19"/>
      <c r="P13" s="5"/>
      <c r="Q13" s="5"/>
      <c r="S13" s="19"/>
      <c r="T13" s="5"/>
      <c r="U13" s="5"/>
      <c r="AA13" s="5"/>
      <c r="AB13" s="5"/>
      <c r="AC13" s="5"/>
    </row>
    <row r="14" spans="1:43" x14ac:dyDescent="0.25">
      <c r="A14" s="30"/>
      <c r="B14" s="29"/>
      <c r="C14" s="29"/>
      <c r="D14" s="30"/>
    </row>
    <row r="15" spans="1:43" x14ac:dyDescent="0.25">
      <c r="A15" s="30"/>
      <c r="B15" s="29"/>
      <c r="C15" s="29"/>
      <c r="D15" s="30"/>
    </row>
    <row r="16" spans="1:43" x14ac:dyDescent="0.25">
      <c r="A16" s="30"/>
      <c r="B16" s="29"/>
      <c r="C16" s="29"/>
      <c r="D16" s="30"/>
    </row>
    <row r="17" spans="1:29" x14ac:dyDescent="0.25">
      <c r="A17" s="30"/>
      <c r="B17" s="29"/>
      <c r="C17" s="29"/>
      <c r="D17" s="30"/>
    </row>
    <row r="18" spans="1:29" x14ac:dyDescent="0.25">
      <c r="A18" s="30"/>
      <c r="B18" s="29"/>
      <c r="C18" s="29"/>
      <c r="D18" s="30"/>
      <c r="W18" s="5"/>
      <c r="X18" s="5"/>
      <c r="Y18" s="5"/>
      <c r="AA18" s="5"/>
      <c r="AB18" s="5"/>
      <c r="AC18" s="5"/>
    </row>
    <row r="19" spans="1:29" x14ac:dyDescent="0.25">
      <c r="A19" s="30"/>
      <c r="B19" s="30"/>
      <c r="C19" s="30"/>
      <c r="D19" s="30"/>
      <c r="W19" s="5"/>
      <c r="X19" s="5"/>
      <c r="Y19" s="5"/>
      <c r="AA19" s="5"/>
      <c r="AB19" s="5"/>
      <c r="AC19" s="5"/>
    </row>
    <row r="20" spans="1:29" x14ac:dyDescent="0.25">
      <c r="A20" s="30"/>
      <c r="B20" s="30"/>
      <c r="C20" s="30"/>
      <c r="D20" s="30"/>
      <c r="W20" s="5"/>
      <c r="X20" s="5"/>
      <c r="Y20" s="5"/>
      <c r="AA20" s="5"/>
      <c r="AB20" s="5"/>
      <c r="AC20" s="5"/>
    </row>
    <row r="21" spans="1:29" x14ac:dyDescent="0.25">
      <c r="I21" s="6" t="s">
        <v>628</v>
      </c>
      <c r="W21" s="5"/>
      <c r="X21" s="5">
        <f>GETPIVOTDATA("remarks",Sheet8!$A$3,"remarks","PASSED")</f>
        <v>1</v>
      </c>
      <c r="Y21" s="5"/>
      <c r="AA21" s="5"/>
      <c r="AB21" s="5"/>
      <c r="AC21" s="5"/>
    </row>
    <row r="22" spans="1:29" ht="92.25" x14ac:dyDescent="1.35">
      <c r="W22" s="5"/>
      <c r="X22" s="31">
        <f>GETPIVOTDATA("remarks",Sheet8!$A$3,"remarks","PASSED")</f>
        <v>1</v>
      </c>
      <c r="Y22" s="5"/>
      <c r="AA22" s="5"/>
      <c r="AB22" s="32">
        <f>GETPIVOTDATA("remarks",Sheet8!$A$3,"remarks","FAILED")</f>
        <v>1</v>
      </c>
      <c r="AC22" s="5"/>
    </row>
    <row r="23" spans="1:29" x14ac:dyDescent="0.25">
      <c r="W23" s="5"/>
      <c r="X23" s="5"/>
      <c r="Y23" s="5"/>
      <c r="AA23" s="5"/>
      <c r="AB23" s="5"/>
      <c r="AC23" s="5"/>
    </row>
    <row r="24" spans="1:29" x14ac:dyDescent="0.25">
      <c r="W24" s="5"/>
      <c r="X24" s="5"/>
      <c r="Y24" s="5"/>
      <c r="AA24" s="5"/>
      <c r="AB24" s="5"/>
      <c r="AC24" s="5"/>
    </row>
    <row r="25" spans="1:29" x14ac:dyDescent="0.25">
      <c r="W25" s="5"/>
      <c r="X25" s="5"/>
      <c r="Y25" s="5"/>
      <c r="AA25" s="5"/>
      <c r="AB25" s="5"/>
      <c r="AC25" s="5"/>
    </row>
    <row r="26" spans="1:29" x14ac:dyDescent="0.25">
      <c r="W26" s="5"/>
      <c r="X26" s="5"/>
      <c r="Y26" s="5"/>
      <c r="AA26" s="5"/>
      <c r="AB26" s="5"/>
      <c r="AC2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AD89-343F-42DC-9321-6674895E66D7}">
  <dimension ref="A3:B6"/>
  <sheetViews>
    <sheetView workbookViewId="0">
      <selection activeCell="A3" sqref="A3:B8"/>
    </sheetView>
  </sheetViews>
  <sheetFormatPr defaultRowHeight="15" x14ac:dyDescent="0.25"/>
  <cols>
    <col min="1" max="1" width="13.140625" bestFit="1" customWidth="1"/>
    <col min="2" max="2" width="14.42578125" bestFit="1" customWidth="1"/>
  </cols>
  <sheetData>
    <row r="3" spans="1:2" x14ac:dyDescent="0.25">
      <c r="A3" s="16" t="s">
        <v>618</v>
      </c>
      <c r="B3" t="s">
        <v>622</v>
      </c>
    </row>
    <row r="4" spans="1:2" x14ac:dyDescent="0.25">
      <c r="A4" s="17" t="s">
        <v>8</v>
      </c>
      <c r="B4" s="2">
        <v>4</v>
      </c>
    </row>
    <row r="5" spans="1:2" x14ac:dyDescent="0.25">
      <c r="A5" s="17" t="s">
        <v>6</v>
      </c>
      <c r="B5" s="2">
        <v>16</v>
      </c>
    </row>
    <row r="6" spans="1:2" x14ac:dyDescent="0.25">
      <c r="A6" s="17" t="s">
        <v>619</v>
      </c>
      <c r="B6" s="2">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93CE2A-38B4-46A4-AF7F-973430563B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users</vt:lpstr>
      <vt:lpstr>Sheet6</vt:lpstr>
      <vt:lpstr>schedules</vt:lpstr>
      <vt:lpstr>grades</vt:lpstr>
      <vt:lpstr>Sheet8</vt:lpstr>
      <vt:lpstr>final_grades</vt:lpstr>
      <vt:lpstr>Sheet7</vt:lpstr>
      <vt:lpstr>classes</vt:lpstr>
      <vt:lpstr>Sheet2</vt:lpstr>
      <vt:lpstr>Sheet4</vt:lpstr>
      <vt:lpstr>Sheet10</vt:lpstr>
      <vt:lpstr>class_students</vt:lpstr>
      <vt:lpstr>Sheet9</vt:lpstr>
      <vt:lpstr>class_activities</vt:lpstr>
      <vt:lpstr>attendance</vt:lpstr>
      <vt:lpstr>Detail1</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Odarve</dc:creator>
  <cp:lastModifiedBy>Vincent Odarve</cp:lastModifiedBy>
  <dcterms:created xsi:type="dcterms:W3CDTF">2026-02-16T10:38:46Z</dcterms:created>
  <dcterms:modified xsi:type="dcterms:W3CDTF">2026-02-16T13:29:45Z</dcterms:modified>
</cp:coreProperties>
</file>